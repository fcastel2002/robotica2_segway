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4da325b49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de46d5a4dab4815"/>
    <x:sheet xmlns:r="http://schemas.openxmlformats.org/officeDocument/2006/relationships" name="AD" sheetId="2" r:id="Rc38fe5ef6dfa4282"/>
    <x:sheet xmlns:r="http://schemas.openxmlformats.org/officeDocument/2006/relationships" name="BC" sheetId="3" r:id="R5a74332056a345d5"/>
    <x:sheet xmlns:r="http://schemas.openxmlformats.org/officeDocument/2006/relationships" name="CDP" sheetId="4" r:id="R50b3ba96394544e2"/>
    <x:sheet xmlns:r="http://schemas.openxmlformats.org/officeDocument/2006/relationships" name="Fuerzas" sheetId="5" r:id="R02c6dc2a4d1f4630"/>
    <x:sheet xmlns:r="http://schemas.openxmlformats.org/officeDocument/2006/relationships" name="Datos" sheetId="6" r:id="Ra43e02793e40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"/>
    <x:numFmt numFmtId="202" formatCode="0.0000"/>
  </x:numFmts>
  <x:fonts count="6">
    <x:font>
      <x:sz val="11"/>
      <x:name val="Carlito"/>
    </x:font>
    <x:font>
      <x:sz val="10"/>
      <x:color rgb="FF203047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sz val="11"/>
      <x:color rgb="FF17324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0BE"/>
      </x:patternFill>
    </x:fill>
    <x:fill>
      <x:patternFill patternType="solid">
        <x:fgColor rgb="FFDCEAF7"/>
      </x:patternFill>
    </x:fill>
    <x:fill>
      <x:patternFill patternType="solid">
        <x:fgColor rgb="FFEDF3F8"/>
      </x:patternFill>
    </x:fill>
    <x:fill>
      <x:patternFill patternType="solid">
        <x:fgColor rgb="FFF4F8FC"/>
      </x:patternFill>
    </x:fill>
  </x:fills>
  <x:borders count="2">
    <x:border/>
    <x:border>
      <x:bottom style="thin">
        <x:color rgb="FFB9C9D8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2" borderId="0" xfId="0" applyNumberFormat="1" applyFont="1" applyFill="1" applyBorder="1"/>
    <x:xf numFmtId="200" fontId="3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4" fillId="3" borderId="0" xfId="0" applyNumberFormat="1" applyFont="1" applyFill="1" applyBorder="1"/>
    <x:xf numFmtId="202" fontId="1" fillId="3" borderId="0" xfId="0" applyNumberFormat="1" applyFont="1" applyFill="1" applyBorder="1"/>
    <x:xf numFmtId="202" fontId="4" fillId="3" borderId="0" xfId="0" applyNumberFormat="1" applyFont="1" applyFill="1" applyBorder="1"/>
    <x:xf numFmtId="200" fontId="1" fillId="3" borderId="0" xfId="0" applyNumberFormat="1" applyFont="1" applyFill="1" applyBorder="1"/>
    <x:xf numFmtId="200" fontId="4" fillId="3" borderId="0" xfId="0" applyNumberFormat="1" applyFont="1" applyFill="1" applyBorder="1"/>
    <x:xf numFmtId="200" fontId="1" fillId="4" borderId="0" xfId="0" applyNumberFormat="1" applyFont="1" applyFill="1" applyBorder="1"/>
    <x:xf numFmtId="200" fontId="4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1" fillId="6" borderId="0" xfId="0" applyNumberFormat="1" applyFont="1" applyFill="1" applyBorder="1"/>
    <x:xf numFmtId="0" fontId="5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9068f2c8d49ff" /><Relationship Type="http://schemas.openxmlformats.org/officeDocument/2006/relationships/theme" Target="/xl/theme/theme1.xml" Id="R2ef59997f61b459f" /><Relationship Type="http://schemas.openxmlformats.org/officeDocument/2006/relationships/sharedStrings" Target="/xl/sharedStrings.xml" Id="R341eaa670b5047ec" /><Relationship Type="http://schemas.openxmlformats.org/officeDocument/2006/relationships/worksheet" Target="/xl/worksheets/sheet1.xml" Id="Rdde46d5a4dab4815" /><Relationship Type="http://schemas.openxmlformats.org/officeDocument/2006/relationships/worksheet" Target="/xl/worksheets/sheet2.xml" Id="Rc38fe5ef6dfa4282" /><Relationship Type="http://schemas.openxmlformats.org/officeDocument/2006/relationships/worksheet" Target="/xl/worksheets/sheet3.xml" Id="R5a74332056a345d5" /><Relationship Type="http://schemas.openxmlformats.org/officeDocument/2006/relationships/worksheet" Target="/xl/worksheets/sheet4.xml" Id="R50b3ba96394544e2" /><Relationship Type="http://schemas.openxmlformats.org/officeDocument/2006/relationships/worksheet" Target="/xl/worksheets/sheet5.xml" Id="R02c6dc2a4d1f4630" /><Relationship Type="http://schemas.openxmlformats.org/officeDocument/2006/relationships/worksheet" Target="/xl/worksheets/sheet6.xml" Id="Ra43e02793e4049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0" hidden="0" customWidth="1"/>
    <x:col min="3" max="3" width="16" hidden="0" customWidth="1"/>
    <x:col min="4" max="4" width="74" hidden="0" customWidth="1"/>
  </x:cols>
  <x:sheetData>
    <x:row r="1">
      <x:c r="A1" s="1"/>
      <x:c r="B1" s="1"/>
      <x:c r="C1" s="1"/>
      <x:c r="D1" s="1"/>
    </x:row>
    <x:row r="2">
      <x:c r="A2" s="2" t="str">
        <x:v>Análisis manual de eslabones</x:v>
      </x:c>
      <x:c r="B2" s="2"/>
      <x:c r="C2" s="2"/>
      <x:c r="D2" s="2"/>
    </x:row>
    <x:row r="3">
      <x:c r="A3" s="3" t="str">
        <x:v>Una postura estática · valores de ejemplo del modelo analítico corregido</x:v>
      </x:c>
      <x:c r="B3" s="3"/>
      <x:c r="C3" s="3"/>
      <x:c r="D3" s="3"/>
    </x:row>
    <x:row r="4" ht="23" customHeight="1">
      <x:c r="A4" s="6" t="str">
        <x:v>Resultados de una pata</x:v>
      </x:c>
      <x:c r="B4" s="6"/>
      <x:c r="C4" s="6"/>
      <x:c r="D4" s="6"/>
    </x:row>
    <x:row r="5">
      <x:c r="A5" s="1" t="str">
        <x:v>Postura θ</x:v>
      </x:c>
      <x:c r="B5" s="18" t="n">
        <x:f>Datos!B6</x:f>
        <x:v>10</x:v>
      </x:c>
      <x:c r="C5" s="4" t="str">
        <x:v>°</x:v>
      </x:c>
      <x:c r="D5" s="4"/>
    </x:row>
    <x:row r="6">
      <x:c r="A6" s="1" t="str">
        <x:v>Normal en rueda</x:v>
      </x:c>
      <x:c r="B6" s="18" t="n">
        <x:f>Fuerzas!B25</x:f>
        <x:v>5.06196</x:v>
      </x:c>
      <x:c r="C6" s="4" t="str">
        <x:v>N</x:v>
      </x:c>
      <x:c r="D6" s="4"/>
    </x:row>
    <x:row r="7">
      <x:c r="A7" s="1" t="str">
        <x:v>Fuerza en BC</x:v>
      </x:c>
      <x:c r="B7" s="18" t="n">
        <x:f>Fuerzas!B55</x:f>
        <x:v>12.077151370954542</x:v>
      </x:c>
      <x:c r="C7" s="4" t="str">
        <x:v>N</x:v>
      </x:c>
      <x:c r="D7" s="4"/>
    </x:row>
    <x:row r="8">
      <x:c r="A8" s="1" t="str">
        <x:v>Par del servo</x:v>
      </x:c>
      <x:c r="B8" s="18" t="n">
        <x:f>Fuerzas!B62</x:f>
        <x:v>1.1402583063729133</x:v>
      </x:c>
      <x:c r="C8" s="4" t="str">
        <x:v>N·m</x:v>
      </x:c>
      <x:c r="D8" s="4"/>
    </x:row>
    <x:row r="9">
      <x:c r="A9" s="1" t="str">
        <x:v>Momento externo respecto de D</x:v>
      </x:c>
      <x:c r="B9" s="18" t="n">
        <x:f>Fuerzas!B40/1000</x:f>
        <x:v>-0.521865838837128</x:v>
      </x:c>
      <x:c r="C9" s="4" t="str">
        <x:v>N·m</x:v>
      </x:c>
      <x:c r="D9" s="4" t="str">
        <x:v>El signo procede de x·Fy − y·Fx</x:v>
      </x:c>
    </x:row>
    <x:row r="10">
      <x:c r="A10" s="1" t="str">
        <x:v>Residuo de equilibrio</x:v>
      </x:c>
      <x:c r="B10" s="18" t="n">
        <x:f>Fuerzas!B64</x:f>
        <x:v>0</x:v>
      </x:c>
      <x:c r="C10" s="4" t="str">
        <x:v>N·mm</x:v>
      </x:c>
      <x:c r="D10" s="4" t="str">
        <x:v>Cercano a cero valida el DCL estático</x:v>
      </x:c>
    </x:row>
    <x:row r="11">
      <x:c r="A11" s="1" t="str">
        <x:v>Verificación de AD</x:v>
      </x:c>
      <x:c r="B11" s="18" t="str">
        <x:f>IF(AD!B47="PENDIENTE CAD Y MATERIAL","Pendiente",IF(AD!B47="REVISAR DATOS","Datos inválidos","Revisar cortes"))</x:f>
        <x:v>Pendiente</x:v>
      </x:c>
      <x:c r="C11" s="4"/>
      <x:c r="D11" s="4" t="str">
        <x:v>Tensiones nominales con 20 × 5 mm; faltan agujeros y admisibles</x:v>
      </x:c>
    </x:row>
    <x:row r="12" ht="23" customHeight="1">
      <x:c r="A12" s="6" t="str">
        <x:v>Cargas en cortes elegidos</x:v>
      </x:c>
      <x:c r="B12" s="8"/>
      <x:c r="C12" s="8"/>
      <x:c r="D12" s="8"/>
    </x:row>
    <x:row r="13">
      <x:c r="A13" s="21" t="str">
        <x:v>Pieza</x:v>
      </x:c>
      <x:c r="B13" s="22" t="str">
        <x:v>|N| (N)</x:v>
      </x:c>
      <x:c r="C13" s="22" t="str">
        <x:v>|V| (N)</x:v>
      </x:c>
      <x:c r="D13" s="22" t="str">
        <x:v>|M| (N·m)</x:v>
      </x:c>
    </x:row>
    <x:row r="14">
      <x:c r="A14" s="1" t="str">
        <x:v>AD</x:v>
      </x:c>
      <x:c r="B14" s="4" t="n">
        <x:f>ABS(AD!B25)</x:f>
        <x:v>11.768225159241398</x:v>
      </x:c>
      <x:c r="C14" s="4" t="n">
        <x:f>ABS(AD!B26)</x:f>
        <x:v>8.264614074254053</x:v>
      </x:c>
      <x:c r="D14" s="4" t="n">
        <x:f>ABS(AD!B27)/1000</x:f>
        <x:v>0.5785229851977838</x:v>
      </x:c>
    </x:row>
    <x:row r="15">
      <x:c r="A15" s="1" t="str">
        <x:v>BC</x:v>
      </x:c>
      <x:c r="B15" s="4" t="n">
        <x:f>ABS(BC!B25)</x:f>
        <x:v>12.114430341951481</x:v>
      </x:c>
      <x:c r="C15" s="4" t="n">
        <x:f>ABS(BC!B26)</x:f>
        <x:v>0.02882395493313261</x:v>
      </x:c>
      <x:c r="D15" s="4" t="n">
        <x:f>ABS(BC!B27)/1000</x:f>
        <x:v>0.0009728084789931994</x:v>
      </x:c>
    </x:row>
    <x:row r="16">
      <x:c r="A16" s="1" t="str">
        <x:v>CDP</x:v>
      </x:c>
      <x:c r="B16" s="4" t="n">
        <x:f>ABS(CDP!B25)</x:f>
        <x:v>0.6092736955630829</x:v>
      </x:c>
      <x:c r="C16" s="4" t="n">
        <x:f>ABS(CDP!B26)</x:f>
        <x:v>3.7870115880460267</x:v>
      </x:c>
      <x:c r="D16" s="4" t="n">
        <x:f>ABS(CDP!B27)/1000</x:f>
        <x:v>0.2120726489305775</x:v>
      </x:c>
    </x:row>
    <x:row r="17">
      <x:c r="A17" s="1"/>
      <x:c r="B17" s="4"/>
      <x:c r="C17" s="1"/>
      <x:c r="D17" s="1"/>
    </x:row>
    <x:row r="18" ht="23" customHeight="1">
      <x:c r="A18" s="6" t="str">
        <x:v>Cómo usar la planilla</x:v>
      </x:c>
      <x:c r="B18" s="8"/>
      <x:c r="C18" s="6"/>
      <x:c r="D18" s="6"/>
    </x:row>
    <x:row r="19">
      <x:c r="A19" s="1" t="str">
        <x:v>1. Geometría y masas</x:v>
      </x:c>
      <x:c r="B19" s="4" t="str">
        <x:v>Editar celdas amarillas en Datos</x:v>
      </x:c>
      <x:c r="C19" s="1"/>
      <x:c r="D19" s="1" t="str">
        <x:v>Los resultados se recalculan en Fuerzas y en cada pieza</x:v>
      </x:c>
    </x:row>
    <x:row r="20">
      <x:c r="A20" s="1" t="str">
        <x:v>2. Revisar momento en D</x:v>
      </x:c>
      <x:c r="B20" s="4" t="str">
        <x:v>Ver Fuerzas, filas 33–41</x:v>
      </x:c>
      <x:c r="C20" s="1"/>
      <x:c r="D20" s="1" t="str">
        <x:v>Muestra suelo, rueda+motor, CDP y fuerza horizontal</x:v>
      </x:c>
    </x:row>
    <x:row r="21">
      <x:c r="A21" s="1" t="str">
        <x:v>3. Cortes críticos</x:v>
      </x:c>
      <x:c r="B21" s="4" t="str">
        <x:v>Editar fracción y sección en AD, BC, CDP</x:v>
      </x:c>
      <x:c r="C21" s="1"/>
      <x:c r="D21" s="1" t="str">
        <x:v>Agregar otros cortes si cambia el punto crítico</x:v>
      </x:c>
    </x:row>
    <x:row r="22">
      <x:c r="A22" s="1" t="str">
        <x:v>4. Material</x:v>
      </x:c>
      <x:c r="B22" s="4" t="str">
        <x:v>Completar admisibles de la impresión</x:v>
      </x:c>
      <x:c r="C22" s="1"/>
      <x:c r="D22" s="1" t="str">
        <x:v>No se reporta un factor de seguridad sin material y sección</x:v>
      </x:c>
    </x:row>
    <x:row r="23">
      <x:c r="A23" s="1"/>
      <x:c r="B23" s="4"/>
      <x:c r="C23" s="1"/>
      <x:c r="D23" s="1"/>
    </x:row>
    <x:row r="24">
      <x:c r="A24" s="1" t="str">
        <x:v>Alcance</x:v>
      </x:c>
      <x:c r="B24" s="4" t="str">
        <x:v>Equilibrio estático plano</x:v>
      </x:c>
      <x:c r="C24" s="1"/>
      <x:c r="D24" s="1" t="str">
        <x:v>No contiene inercia, concentraciones de tensión ni FEA</x:v>
      </x:c>
    </x:row>
    <x:row r="25">
      <x:c r="A25" s="1" t="str">
        <x:v>Sección preliminar</x:v>
      </x:c>
      <x:c r="B25" s="4" t="str">
        <x:v>20 × 5 mm</x:v>
      </x:c>
      <x:c r="C25" s="1"/>
      <x:c r="D25" s="1" t="str">
        <x:v>Altura en plano × espesor; sustituir por cotas de cada CAD</x:v>
      </x:c>
    </x:row>
    <x:row r="26" ht="23" customHeight="1">
      <x:c r="A26" s="6" t="str">
        <x:v>Ecuaciones de equilibrio de una pata</x:v>
      </x:c>
      <x:c r="B26" s="8"/>
      <x:c r="C26" s="6"/>
      <x:c r="D26" s="6"/>
    </x:row>
    <x:row r="27" ht="23" customHeight="1">
      <x:c r="A27" s="21" t="str">
        <x:v>Magnitud</x:v>
      </x:c>
      <x:c r="B27" s="22" t="str">
        <x:v>Resultado</x:v>
      </x:c>
      <x:c r="C27" s="21" t="str">
        <x:v>Unidad</x:v>
      </x:c>
      <x:c r="D27" s="21" t="str">
        <x:v>Ecuación de verificación</x:v>
      </x:c>
    </x:row>
    <x:row r="28" ht="22" customHeight="1">
      <x:c r="A28" s="1" t="str">
        <x:v>Masa total</x:v>
      </x:c>
      <x:c r="B28" s="4" t="n">
        <x:f>Fuerzas!B24</x:f>
        <x:v>1.032</x:v>
      </x:c>
      <x:c r="C28" s="1" t="str">
        <x:v>kg</x:v>
      </x:c>
      <x:c r="D28" s="24" t="str">
        <x:v>m_tot = m_cab + n(m_AD + m_BC + m_CDP + m_P)</x:v>
      </x:c>
    </x:row>
    <x:row r="29" ht="22" customHeight="1">
      <x:c r="A29" s="1" t="str">
        <x:v>Normal por rueda</x:v>
      </x:c>
      <x:c r="B29" s="4" t="n">
        <x:f>Fuerzas!B25</x:f>
        <x:v>5.06196</x:v>
      </x:c>
      <x:c r="C29" s="1" t="str">
        <x:v>N</x:v>
      </x:c>
      <x:c r="D29" s="24" t="str">
        <x:v>R_P = f_apoyo m_tot g / n</x:v>
      </x:c>
    </x:row>
    <x:row r="30" ht="22" customHeight="1">
      <x:c r="A30" s="1" t="str">
        <x:v>Carga vertical neta en P</x:v>
      </x:c>
      <x:c r="B30" s="4" t="n">
        <x:f>Fuerzas!B27</x:f>
        <x:v>3.8357099999999997</x:v>
      </x:c>
      <x:c r="C30" s="1" t="str">
        <x:v>N</x:v>
      </x:c>
      <x:c r="D30" s="24" t="str">
        <x:v>F_Py = R_P − m_P g</x:v>
      </x:c>
    </x:row>
    <x:row r="31" ht="22" customHeight="1">
      <x:c r="A31" s="1" t="str">
        <x:v>Momento externo en D</x:v>
      </x:c>
      <x:c r="B31" s="4" t="n">
        <x:f>Fuerzas!B40</x:f>
        <x:v>-521.865838837128</x:v>
      </x:c>
      <x:c r="C31" s="1" t="str">
        <x:v>N·mm</x:v>
      </x:c>
      <x:c r="D31" s="24" t="str">
        <x:v>M_D = Δx_P F_Py − Δy_P F_Px − Δx_G W_CDP</x:v>
      </x:c>
    </x:row>
    <x:row r="32" ht="22" customHeight="1">
      <x:c r="A32" s="1" t="str">
        <x:v>Momento de C sobre CDP</x:v>
      </x:c>
      <x:c r="B32" s="4" t="n">
        <x:f>Fuerzas!B63</x:f>
        <x:v>521.865838837128</x:v>
      </x:c>
      <x:c r="C32" s="1" t="str">
        <x:v>N·mm</x:v>
      </x:c>
      <x:c r="D32" s="24" t="str">
        <x:v>M_C = Δy_C C_x − Δx_C C_y</x:v>
      </x:c>
    </x:row>
    <x:row r="33" ht="22" customHeight="1">
      <x:c r="A33" s="1" t="str">
        <x:v>Residuo en D</x:v>
      </x:c>
      <x:c r="B33" s="4" t="n">
        <x:f>Fuerzas!B64</x:f>
        <x:v>0</x:v>
      </x:c>
      <x:c r="C33" s="1" t="str">
        <x:v>N·mm</x:v>
      </x:c>
      <x:c r="D33" s="24" t="str">
        <x:v>ΣM_D = M_D + M_C ≈ 0</x:v>
      </x:c>
    </x:row>
    <x:row r="34" ht="22" customHeight="1">
      <x:c r="A34" s="1" t="str">
        <x:v>Fuerza en C</x:v>
      </x:c>
      <x:c r="B34" s="4" t="n">
        <x:f>Fuerzas!B55</x:f>
        <x:v>12.077151370954542</x:v>
      </x:c>
      <x:c r="C34" s="1" t="str">
        <x:v>N</x:v>
      </x:c>
      <x:c r="D34" s="24" t="str">
        <x:v>|C| = √(C_x² + C_y²)</x:v>
      </x:c>
    </x:row>
    <x:row r="35" ht="22" customHeight="1">
      <x:c r="A35" s="1" t="str">
        <x:v>Par horario del servo</x:v>
      </x:c>
      <x:c r="B35" s="4" t="n">
        <x:f>Fuerzas!B62</x:f>
        <x:v>1.1402583063729133</x:v>
      </x:c>
      <x:c r="C35" s="1" t="str">
        <x:v>N·m</x:v>
      </x:c>
      <x:c r="D35" s="24" t="str">
        <x:v>T_A = [(r_D−r_A)×F_D − Δx_G W_AD] / 1000</x:v>
      </x:c>
    </x:row>
    <x:row r="36">
      <x:c r="A36" s="1" t="str">
        <x:v>Convención de signos</x:v>
      </x:c>
      <x:c r="B36" s="4"/>
      <x:c r="C36" s="1"/>
      <x:c r="D36" s="1" t="str">
        <x:v>λ_G=1 si G está del lado aislado; si no 0. C y D: fuerza de CDP</x:v>
      </x:c>
    </x:row>
    <x:row r="37" ht="23" customHeight="1">
      <x:c r="A37" s="6" t="str">
        <x:v>Eslabón AD: esfuerzos y verificaciones</x:v>
      </x:c>
      <x:c r="B37" s="8"/>
      <x:c r="C37" s="6"/>
      <x:c r="D37" s="6"/>
    </x:row>
    <x:row r="38" ht="23" customHeight="1">
      <x:c r="A38" s="21" t="str">
        <x:v>Magnitud</x:v>
      </x:c>
      <x:c r="B38" s="22" t="str">
        <x:v>Resultado</x:v>
      </x:c>
      <x:c r="C38" s="21" t="str">
        <x:v>Unidad</x:v>
      </x:c>
      <x:c r="D38" s="21" t="str">
        <x:v>Ecuación de verificación</x:v>
      </x:c>
    </x:row>
    <x:row r="39" ht="22" customHeight="1">
      <x:c r="A39" s="1" t="str">
        <x:v>Axial firmado N</x:v>
      </x:c>
      <x:c r="B39" s="4" t="n">
        <x:f>IF(AD!B25="","",AD!B25)</x:f>
        <x:v>-11.768225159241398</x:v>
      </x:c>
      <x:c r="C39" s="1" t="str">
        <x:v>N</x:v>
      </x:c>
      <x:c r="D39" s="24" t="str">
        <x:v>N = F_x u_x + F_y u_y</x:v>
      </x:c>
    </x:row>
    <x:row r="40" ht="22" customHeight="1">
      <x:c r="A40" s="1" t="str">
        <x:v>Cortante firmado V</x:v>
      </x:c>
      <x:c r="B40" s="4" t="n">
        <x:f>IF(AD!B26="","",AD!B26)</x:f>
        <x:v>8.264614074254053</x:v>
      </x:c>
      <x:c r="C40" s="1" t="str">
        <x:v>N</x:v>
      </x:c>
      <x:c r="D40" s="24" t="str">
        <x:v>V = F_x n_x + F_y n_y</x:v>
      </x:c>
    </x:row>
    <x:row r="41" ht="22" customHeight="1">
      <x:c r="A41" s="1" t="str">
        <x:v>Momento firmado M</x:v>
      </x:c>
      <x:c r="B41" s="4" t="n">
        <x:f>IF(AD!B27="","",AD!B27)</x:f>
        <x:v>578.5229851977838</x:v>
      </x:c>
      <x:c r="C41" s="1" t="str">
        <x:v>N·mm</x:v>
      </x:c>
      <x:c r="D41" s="24" t="str">
        <x:v>M = (r_D−r_s)×F_D − λ_G W_AD(x_G−x_s)</x:v>
      </x:c>
    </x:row>
    <x:row r="42" ht="22" customHeight="1">
      <x:c r="A42" s="1" t="str">
        <x:v>Área bruta A</x:v>
      </x:c>
      <x:c r="B42" s="4" t="n">
        <x:f>IF(AD!B30="","",AD!B30)</x:f>
        <x:v>100</x:v>
      </x:c>
      <x:c r="C42" s="1" t="str">
        <x:v>mm²</x:v>
      </x:c>
      <x:c r="D42" s="24" t="str">
        <x:v>A = w t</x:v>
      </x:c>
    </x:row>
    <x:row r="43" ht="22" customHeight="1">
      <x:c r="A43" s="1" t="str">
        <x:v>Inercia en el plano I_z</x:v>
      </x:c>
      <x:c r="B43" s="4" t="n">
        <x:f>IF(AD!B31="","",AD!B31)</x:f>
        <x:v>3333.3333333333335</x:v>
      </x:c>
      <x:c r="C43" s="1" t="str">
        <x:v>mm⁴</x:v>
      </x:c>
      <x:c r="D43" s="24" t="str">
        <x:v>I_z = t w³ / 12</x:v>
      </x:c>
    </x:row>
    <x:row r="44" ht="22" customHeight="1">
      <x:c r="A44" s="1" t="str">
        <x:v>Tensión axial σ_ax</x:v>
      </x:c>
      <x:c r="B44" s="4" t="n">
        <x:f>IF(AD!B32="","",AD!B32)</x:f>
        <x:v>0.11768225159241398</x:v>
      </x:c>
      <x:c r="C44" s="1" t="str">
        <x:v>MPa</x:v>
      </x:c>
      <x:c r="D44" s="24" t="str">
        <x:v>σ_ax = |N| / A</x:v>
      </x:c>
    </x:row>
    <x:row r="45" ht="22" customHeight="1">
      <x:c r="A45" s="1" t="str">
        <x:v>Tensión de flexión σ_f</x:v>
      </x:c>
      <x:c r="B45" s="4" t="n">
        <x:f>IF(AD!B33="","",AD!B33)</x:f>
        <x:v>1.7355689555933513</x:v>
      </x:c>
      <x:c r="C45" s="1" t="str">
        <x:v>MPa</x:v>
      </x:c>
      <x:c r="D45" s="24" t="str">
        <x:v>σ_f = |M| w / (2 I_z)</x:v>
      </x:c>
    </x:row>
    <x:row r="46" ht="22" customHeight="1">
      <x:c r="A46" s="1" t="str">
        <x:v>Normal combinada σ_comb</x:v>
      </x:c>
      <x:c r="B46" s="4" t="n">
        <x:f>IF(AD!B34="","",AD!B34)</x:f>
        <x:v>1.8532512071857654</x:v>
      </x:c>
      <x:c r="C46" s="1" t="str">
        <x:v>MPa</x:v>
      </x:c>
      <x:c r="D46" s="24" t="str">
        <x:v>σ_comb = σ_ax + σ_f</x:v>
      </x:c>
    </x:row>
    <x:row r="47" ht="22" customHeight="1">
      <x:c r="A47" s="1" t="str">
        <x:v>Cortante nominal τ</x:v>
      </x:c>
      <x:c r="B47" s="4" t="n">
        <x:f>IF(AD!B35="","",AD!B35)</x:f>
        <x:v>0.12396921111381079</x:v>
      </x:c>
      <x:c r="C47" s="1" t="str">
        <x:v>MPa</x:v>
      </x:c>
      <x:c r="D47" s="24" t="str">
        <x:v>τ = 1,5 |V| / A</x:v>
      </x:c>
    </x:row>
    <x:row r="48" ht="22" customHeight="1">
      <x:c r="A48" s="1" t="str">
        <x:v>Área neta en agujero A_n</x:v>
      </x:c>
      <x:c r="B48" s="4" t="str">
        <x:f>IF(AD!B36="","",AD!B36)</x:f>
      </x:c>
      <x:c r="C48" s="1" t="str">
        <x:v>mm²</x:v>
      </x:c>
      <x:c r="D48" s="24" t="str">
        <x:v>A_n = (w − d) t</x:v>
      </x:c>
    </x:row>
    <x:row r="49" ht="22" customHeight="1">
      <x:c r="A49" s="1" t="str">
        <x:v>Normal en ligamento σ_n</x:v>
      </x:c>
      <x:c r="B49" s="4" t="str">
        <x:f>IF(AD!B37="","",AD!B37)</x:f>
      </x:c>
      <x:c r="C49" s="1" t="str">
        <x:v>MPa</x:v>
      </x:c>
      <x:c r="D49" s="24" t="str">
        <x:v>σ_n = |N| / A_n</x:v>
      </x:c>
    </x:row>
    <x:row r="50" ht="22" customHeight="1">
      <x:c r="A50" s="1" t="str">
        <x:v>Aplastamiento p</x:v>
      </x:c>
      <x:c r="B50" s="4" t="str">
        <x:f>IF(AD!B38="","",AD!B38)</x:f>
      </x:c>
      <x:c r="C50" s="1" t="str">
        <x:v>MPa</x:v>
      </x:c>
      <x:c r="D50" s="24" t="str">
        <x:v>p = F_perno / (t d)</x:v>
      </x:c>
    </x:row>
    <x:row r="51" ht="22" customHeight="1">
      <x:c r="A51" s="1" t="str">
        <x:v>Arrancamiento τ_arr</x:v>
      </x:c>
      <x:c r="B51" s="4" t="str">
        <x:f>IF(AD!B39="","",AD!B39)</x:f>
      </x:c>
      <x:c r="C51" s="1" t="str">
        <x:v>MPa</x:v>
      </x:c>
      <x:c r="D51" s="24" t="str">
        <x:v>τ_arr = F_perno / (2 t e)</x:v>
      </x:c>
    </x:row>
    <x:row r="52" ht="22" customHeight="1">
      <x:c r="A52" s="1" t="str">
        <x:v>FS normal combinada</x:v>
      </x:c>
      <x:c r="B52" s="4" t="str">
        <x:f>IF(AD!B42="","",AD!B42)</x:f>
      </x:c>
      <x:c r="C52" s="1" t="str">
        <x:v>—</x:v>
      </x:c>
      <x:c r="D52" s="24" t="str">
        <x:v>FS = σ_adm / σ_comb</x:v>
      </x:c>
    </x:row>
    <x:row r="53" ht="22" customHeight="1">
      <x:c r="A53" s="1" t="str">
        <x:v>FS cortante</x:v>
      </x:c>
      <x:c r="B53" s="4" t="str">
        <x:f>IF(AD!B43="","",AD!B43)</x:f>
      </x:c>
      <x:c r="C53" s="1" t="str">
        <x:v>—</x:v>
      </x:c>
      <x:c r="D53" s="24" t="str">
        <x:v>FS = τ_adm / τ</x:v>
      </x:c>
    </x:row>
    <x:row r="54" ht="22" customHeight="1">
      <x:c r="A54" s="1" t="str">
        <x:v>FS aplastamiento</x:v>
      </x:c>
      <x:c r="B54" s="4" t="str">
        <x:f>IF(AD!B44="","",AD!B44)</x:f>
      </x:c>
      <x:c r="C54" s="1" t="str">
        <x:v>—</x:v>
      </x:c>
      <x:c r="D54" s="24" t="str">
        <x:v>FS = p_adm / p</x:v>
      </x:c>
    </x:row>
    <x:row r="55" ht="22" customHeight="1">
      <x:c r="A55" s="1" t="str">
        <x:v>FS ligamento axial</x:v>
      </x:c>
      <x:c r="B55" s="4" t="str">
        <x:f>IF(AD!B45="","",AD!B45)</x:f>
      </x:c>
      <x:c r="C55" s="1" t="str">
        <x:v>—</x:v>
      </x:c>
      <x:c r="D55" s="24" t="str">
        <x:v>FS = σ_adm / σ_n</x:v>
      </x:c>
    </x:row>
    <x:row r="56" ht="22" customHeight="1">
      <x:c r="A56" s="1" t="str">
        <x:v>FS arrancamiento</x:v>
      </x:c>
      <x:c r="B56" s="4" t="str">
        <x:f>IF(AD!B46="","",AD!B46)</x:f>
      </x:c>
      <x:c r="C56" s="1" t="str">
        <x:v>—</x:v>
      </x:c>
      <x:c r="D56" s="24" t="str">
        <x:v>FS = τ_adm / τ_arr</x:v>
      </x:c>
    </x:row>
    <x:row r="57" ht="22" customHeight="1">
      <x:c r="A57" s="1" t="str">
        <x:v>Estado de verificación</x:v>
      </x:c>
      <x:c r="B57" s="4" t="str">
        <x:f>IF(AD!B47="PENDIENTE CAD Y MATERIAL","Pendiente",IF(AD!B47="REVISAR DATOS","Datos inválidos","Revisar cortes"))</x:f>
        <x:v>Pendiente</x:v>
      </x:c>
      <x:c r="C57" s="1"/>
      <x:c r="D57" s="24" t="str">
        <x:v>Agujeros, material y secciones críticas por confirmar</x:v>
      </x:c>
    </x:row>
    <x:row r="58">
      <x:c r="A58" s="1"/>
      <x:c r="B58" s="4"/>
      <x:c r="C58" s="1"/>
      <x:c r="D58" s="1"/>
    </x:row>
    <x:row r="59" ht="23" customHeight="1">
      <x:c r="A59" s="6" t="str">
        <x:v>Eslabón BC: esfuerzos y verificaciones</x:v>
      </x:c>
      <x:c r="B59" s="8"/>
      <x:c r="C59" s="6"/>
      <x:c r="D59" s="6"/>
    </x:row>
    <x:row r="60" ht="23" customHeight="1">
      <x:c r="A60" s="21" t="str">
        <x:v>Magnitud</x:v>
      </x:c>
      <x:c r="B60" s="22" t="str">
        <x:v>Resultado</x:v>
      </x:c>
      <x:c r="C60" s="21" t="str">
        <x:v>Unidad</x:v>
      </x:c>
      <x:c r="D60" s="21" t="str">
        <x:v>Ecuación de verificación</x:v>
      </x:c>
    </x:row>
    <x:row r="61" ht="22" customHeight="1">
      <x:c r="A61" s="1" t="str">
        <x:v>Axial firmado N</x:v>
      </x:c>
      <x:c r="B61" s="4" t="n">
        <x:f>IF(BC!B25="","",BC!B25)</x:f>
        <x:v>12.114430341951481</x:v>
      </x:c>
      <x:c r="C61" s="1" t="str">
        <x:v>N</x:v>
      </x:c>
      <x:c r="D61" s="24" t="str">
        <x:v>N = F_x u_x + F_y u_y</x:v>
      </x:c>
    </x:row>
    <x:row r="62" ht="22" customHeight="1">
      <x:c r="A62" s="1" t="str">
        <x:v>Cortante firmado V</x:v>
      </x:c>
      <x:c r="B62" s="4" t="n">
        <x:f>IF(BC!B26="","",BC!B26)</x:f>
        <x:v>-0.02882395493313261</x:v>
      </x:c>
      <x:c r="C62" s="1" t="str">
        <x:v>N</x:v>
      </x:c>
      <x:c r="D62" s="24" t="str">
        <x:v>V = F_x n_x + F_y n_y</x:v>
      </x:c>
    </x:row>
    <x:row r="63" ht="22" customHeight="1">
      <x:c r="A63" s="1" t="str">
        <x:v>Momento firmado M</x:v>
      </x:c>
      <x:c r="B63" s="4" t="n">
        <x:f>IF(BC!B27="","",BC!B27)</x:f>
        <x:v>0.9728084789931994</x:v>
      </x:c>
      <x:c r="C63" s="1" t="str">
        <x:v>N·mm</x:v>
      </x:c>
      <x:c r="D63" s="24" t="str">
        <x:v>M = (r_C−r_s)×F_C − λ_G W_BC(x_G−x_s)</x:v>
      </x:c>
    </x:row>
    <x:row r="64" ht="22" customHeight="1">
      <x:c r="A64" s="1" t="str">
        <x:v>Área bruta A</x:v>
      </x:c>
      <x:c r="B64" s="4" t="n">
        <x:f>IF(BC!B30="","",BC!B30)</x:f>
        <x:v>100</x:v>
      </x:c>
      <x:c r="C64" s="1" t="str">
        <x:v>mm²</x:v>
      </x:c>
      <x:c r="D64" s="24" t="str">
        <x:v>A = w t</x:v>
      </x:c>
    </x:row>
    <x:row r="65" ht="22" customHeight="1">
      <x:c r="A65" s="1" t="str">
        <x:v>Inercia en el plano I_z</x:v>
      </x:c>
      <x:c r="B65" s="4" t="n">
        <x:f>IF(BC!B31="","",BC!B31)</x:f>
        <x:v>3333.3333333333335</x:v>
      </x:c>
      <x:c r="C65" s="1" t="str">
        <x:v>mm⁴</x:v>
      </x:c>
      <x:c r="D65" s="24" t="str">
        <x:v>I_z = t w³ / 12</x:v>
      </x:c>
    </x:row>
    <x:row r="66" ht="22" customHeight="1">
      <x:c r="A66" s="1" t="str">
        <x:v>Tensión axial σ_ax</x:v>
      </x:c>
      <x:c r="B66" s="4" t="n">
        <x:f>IF(BC!B32="","",BC!B32)</x:f>
        <x:v>0.1211443034195148</x:v>
      </x:c>
      <x:c r="C66" s="1" t="str">
        <x:v>MPa</x:v>
      </x:c>
      <x:c r="D66" s="24" t="str">
        <x:v>σ_ax = |N| / A</x:v>
      </x:c>
    </x:row>
    <x:row r="67" ht="22" customHeight="1">
      <x:c r="A67" s="1" t="str">
        <x:v>Tensión de flexión σ_f</x:v>
      </x:c>
      <x:c r="B67" s="4" t="n">
        <x:f>IF(BC!B33="","",BC!B33)</x:f>
        <x:v>0.002918425436979598</x:v>
      </x:c>
      <x:c r="C67" s="1" t="str">
        <x:v>MPa</x:v>
      </x:c>
      <x:c r="D67" s="24" t="str">
        <x:v>σ_f = |M| w / (2 I_z)</x:v>
      </x:c>
    </x:row>
    <x:row r="68" ht="22" customHeight="1">
      <x:c r="A68" s="1" t="str">
        <x:v>Normal combinada σ_comb</x:v>
      </x:c>
      <x:c r="B68" s="4" t="n">
        <x:f>IF(BC!B34="","",BC!B34)</x:f>
        <x:v>0.1240627288564944</x:v>
      </x:c>
      <x:c r="C68" s="1" t="str">
        <x:v>MPa</x:v>
      </x:c>
      <x:c r="D68" s="24" t="str">
        <x:v>σ_comb = σ_ax + σ_f</x:v>
      </x:c>
    </x:row>
    <x:row r="69" ht="22" customHeight="1">
      <x:c r="A69" s="1" t="str">
        <x:v>Cortante nominal τ</x:v>
      </x:c>
      <x:c r="B69" s="4" t="n">
        <x:f>IF(BC!B35="","",BC!B35)</x:f>
        <x:v>0.0004323593239969892</x:v>
      </x:c>
      <x:c r="C69" s="1" t="str">
        <x:v>MPa</x:v>
      </x:c>
      <x:c r="D69" s="24" t="str">
        <x:v>τ = 1,5 |V| / A</x:v>
      </x:c>
    </x:row>
    <x:row r="70" ht="22" customHeight="1">
      <x:c r="A70" s="1" t="str">
        <x:v>Área neta en agujero A_n</x:v>
      </x:c>
      <x:c r="B70" s="4" t="str">
        <x:f>IF(BC!B36="","",BC!B36)</x:f>
      </x:c>
      <x:c r="C70" s="1" t="str">
        <x:v>mm²</x:v>
      </x:c>
      <x:c r="D70" s="24" t="str">
        <x:v>A_n = (w − d) t</x:v>
      </x:c>
    </x:row>
    <x:row r="71" ht="22" customHeight="1">
      <x:c r="A71" s="1" t="str">
        <x:v>Normal en ligamento σ_n</x:v>
      </x:c>
      <x:c r="B71" s="4" t="str">
        <x:f>IF(BC!B37="","",BC!B37)</x:f>
      </x:c>
      <x:c r="C71" s="1" t="str">
        <x:v>MPa</x:v>
      </x:c>
      <x:c r="D71" s="24" t="str">
        <x:v>σ_n = |N| / A_n</x:v>
      </x:c>
    </x:row>
    <x:row r="72" ht="22" customHeight="1">
      <x:c r="A72" s="1" t="str">
        <x:v>Aplastamiento p</x:v>
      </x:c>
      <x:c r="B72" s="4" t="str">
        <x:f>IF(BC!B38="","",BC!B38)</x:f>
      </x:c>
      <x:c r="C72" s="1" t="str">
        <x:v>MPa</x:v>
      </x:c>
      <x:c r="D72" s="24" t="str">
        <x:v>p = F_perno / (t d)</x:v>
      </x:c>
    </x:row>
    <x:row r="73" ht="22" customHeight="1">
      <x:c r="A73" s="1" t="str">
        <x:v>Arrancamiento τ_arr</x:v>
      </x:c>
      <x:c r="B73" s="4" t="str">
        <x:f>IF(BC!B39="","",BC!B39)</x:f>
      </x:c>
      <x:c r="C73" s="1" t="str">
        <x:v>MPa</x:v>
      </x:c>
      <x:c r="D73" s="24" t="str">
        <x:v>τ_arr = F_perno / (2 t e)</x:v>
      </x:c>
    </x:row>
    <x:row r="74" ht="22" customHeight="1">
      <x:c r="A74" s="1" t="str">
        <x:v>FS normal combinada</x:v>
      </x:c>
      <x:c r="B74" s="4" t="str">
        <x:f>IF(BC!B42="","",BC!B42)</x:f>
      </x:c>
      <x:c r="C74" s="1" t="str">
        <x:v>—</x:v>
      </x:c>
      <x:c r="D74" s="24" t="str">
        <x:v>FS = σ_adm / σ_comb</x:v>
      </x:c>
    </x:row>
    <x:row r="75" ht="22" customHeight="1">
      <x:c r="A75" s="1" t="str">
        <x:v>FS cortante</x:v>
      </x:c>
      <x:c r="B75" s="4" t="str">
        <x:f>IF(BC!B43="","",BC!B43)</x:f>
      </x:c>
      <x:c r="C75" s="1" t="str">
        <x:v>—</x:v>
      </x:c>
      <x:c r="D75" s="24" t="str">
        <x:v>FS = τ_adm / τ</x:v>
      </x:c>
    </x:row>
    <x:row r="76" ht="22" customHeight="1">
      <x:c r="A76" s="1" t="str">
        <x:v>FS aplastamiento</x:v>
      </x:c>
      <x:c r="B76" s="4" t="str">
        <x:f>IF(BC!B44="","",BC!B44)</x:f>
      </x:c>
      <x:c r="C76" s="1" t="str">
        <x:v>—</x:v>
      </x:c>
      <x:c r="D76" s="24" t="str">
        <x:v>FS = p_adm / p</x:v>
      </x:c>
    </x:row>
    <x:row r="77" ht="22" customHeight="1">
      <x:c r="A77" s="1" t="str">
        <x:v>FS ligamento axial</x:v>
      </x:c>
      <x:c r="B77" s="4" t="str">
        <x:f>IF(BC!B45="","",BC!B45)</x:f>
      </x:c>
      <x:c r="C77" s="1" t="str">
        <x:v>—</x:v>
      </x:c>
      <x:c r="D77" s="24" t="str">
        <x:v>FS = σ_adm / σ_n</x:v>
      </x:c>
    </x:row>
    <x:row r="78" ht="22" customHeight="1">
      <x:c r="A78" s="1" t="str">
        <x:v>FS arrancamiento</x:v>
      </x:c>
      <x:c r="B78" s="4" t="str">
        <x:f>IF(BC!B46="","",BC!B46)</x:f>
      </x:c>
      <x:c r="C78" s="1" t="str">
        <x:v>—</x:v>
      </x:c>
      <x:c r="D78" s="24" t="str">
        <x:v>FS = τ_adm / τ_arr</x:v>
      </x:c>
    </x:row>
    <x:row r="79" ht="22" customHeight="1">
      <x:c r="A79" s="1" t="str">
        <x:v>Estado de verificación</x:v>
      </x:c>
      <x:c r="B79" s="4" t="str">
        <x:f>IF(BC!B47="PENDIENTE CAD Y MATERIAL","Pendiente",IF(BC!B47="REVISAR DATOS","Datos inválidos","Revisar cortes"))</x:f>
        <x:v>Pendiente</x:v>
      </x:c>
      <x:c r="C79" s="1"/>
      <x:c r="D79" s="24" t="str">
        <x:v>Agujeros, material y secciones críticas por confirmar</x:v>
      </x:c>
    </x:row>
    <x:row r="80">
      <x:c r="A80" s="1"/>
      <x:c r="B80" s="4"/>
      <x:c r="C80" s="1"/>
      <x:c r="D80" s="1"/>
    </x:row>
    <x:row r="81" ht="23" customHeight="1">
      <x:c r="A81" s="6" t="str">
        <x:v>Eslabón CDP: esfuerzos y verificaciones</x:v>
      </x:c>
      <x:c r="B81" s="8"/>
      <x:c r="C81" s="6"/>
      <x:c r="D81" s="6"/>
    </x:row>
    <x:row r="82" ht="23" customHeight="1">
      <x:c r="A82" s="21" t="str">
        <x:v>Magnitud</x:v>
      </x:c>
      <x:c r="B82" s="22" t="str">
        <x:v>Resultado</x:v>
      </x:c>
      <x:c r="C82" s="21" t="str">
        <x:v>Unidad</x:v>
      </x:c>
      <x:c r="D82" s="21" t="str">
        <x:v>Ecuación de verificación</x:v>
      </x:c>
    </x:row>
    <x:row r="83" ht="22" customHeight="1">
      <x:c r="A83" s="1" t="str">
        <x:v>Axial firmado N</x:v>
      </x:c>
      <x:c r="B83" s="4" t="n">
        <x:f>IF(CDP!B25="","",CDP!B25)</x:f>
        <x:v>-0.6092736955630829</x:v>
      </x:c>
      <x:c r="C83" s="1" t="str">
        <x:v>N</x:v>
      </x:c>
      <x:c r="D83" s="24" t="str">
        <x:v>N = F_x u_x + F_y u_y</x:v>
      </x:c>
    </x:row>
    <x:row r="84" ht="22" customHeight="1">
      <x:c r="A84" s="1" t="str">
        <x:v>Cortante firmado V</x:v>
      </x:c>
      <x:c r="B84" s="4" t="n">
        <x:f>IF(CDP!B26="","",CDP!B26)</x:f>
        <x:v>-3.7870115880460267</x:v>
      </x:c>
      <x:c r="C84" s="1" t="str">
        <x:v>N</x:v>
      </x:c>
      <x:c r="D84" s="24" t="str">
        <x:v>V = F_x n_x + F_y n_y</x:v>
      </x:c>
    </x:row>
    <x:row r="85" ht="22" customHeight="1">
      <x:c r="A85" s="1" t="str">
        <x:v>Momento firmado M</x:v>
      </x:c>
      <x:c r="B85" s="4" t="n">
        <x:f>IF(CDP!B27="","",CDP!B27)</x:f>
        <x:v>-212.07264893057751</x:v>
      </x:c>
      <x:c r="C85" s="1" t="str">
        <x:v>N·mm</x:v>
      </x:c>
      <x:c r="D85" s="24" t="str">
        <x:v>M = (r_P−r_s)×F_P − λ_G W_CDP(x_G−x_s)</x:v>
      </x:c>
    </x:row>
    <x:row r="86" ht="22" customHeight="1">
      <x:c r="A86" s="1" t="str">
        <x:v>Área bruta A</x:v>
      </x:c>
      <x:c r="B86" s="4" t="n">
        <x:f>IF(CDP!B30="","",CDP!B30)</x:f>
        <x:v>100</x:v>
      </x:c>
      <x:c r="C86" s="1" t="str">
        <x:v>mm²</x:v>
      </x:c>
      <x:c r="D86" s="24" t="str">
        <x:v>A = w t</x:v>
      </x:c>
    </x:row>
    <x:row r="87" ht="22" customHeight="1">
      <x:c r="A87" s="1" t="str">
        <x:v>Inercia en el plano I_z</x:v>
      </x:c>
      <x:c r="B87" s="4" t="n">
        <x:f>IF(CDP!B31="","",CDP!B31)</x:f>
        <x:v>3333.3333333333335</x:v>
      </x:c>
      <x:c r="C87" s="1" t="str">
        <x:v>mm⁴</x:v>
      </x:c>
      <x:c r="D87" s="24" t="str">
        <x:v>I_z = t w³ / 12</x:v>
      </x:c>
    </x:row>
    <x:row r="88" ht="22" customHeight="1">
      <x:c r="A88" s="1" t="str">
        <x:v>Tensión axial σ_ax</x:v>
      </x:c>
      <x:c r="B88" s="4" t="n">
        <x:f>IF(CDP!B32="","",CDP!B32)</x:f>
        <x:v>0.0060927369556308284</x:v>
      </x:c>
      <x:c r="C88" s="1" t="str">
        <x:v>MPa</x:v>
      </x:c>
      <x:c r="D88" s="24" t="str">
        <x:v>σ_ax = |N| / A</x:v>
      </x:c>
    </x:row>
    <x:row r="89" ht="22" customHeight="1">
      <x:c r="A89" s="1" t="str">
        <x:v>Tensión de flexión σ_f</x:v>
      </x:c>
      <x:c r="B89" s="4" t="n">
        <x:f>IF(CDP!B33="","",CDP!B33)</x:f>
        <x:v>0.6362179467917325</x:v>
      </x:c>
      <x:c r="C89" s="1" t="str">
        <x:v>MPa</x:v>
      </x:c>
      <x:c r="D89" s="24" t="str">
        <x:v>σ_f = |M| w / (2 I_z)</x:v>
      </x:c>
    </x:row>
    <x:row r="90" ht="22" customHeight="1">
      <x:c r="A90" s="1" t="str">
        <x:v>Normal combinada σ_comb</x:v>
      </x:c>
      <x:c r="B90" s="4" t="n">
        <x:f>IF(CDP!B34="","",CDP!B34)</x:f>
        <x:v>0.6423106837473633</x:v>
      </x:c>
      <x:c r="C90" s="1" t="str">
        <x:v>MPa</x:v>
      </x:c>
      <x:c r="D90" s="24" t="str">
        <x:v>σ_comb = σ_ax + σ_f</x:v>
      </x:c>
    </x:row>
    <x:row r="91" ht="22" customHeight="1">
      <x:c r="A91" s="1" t="str">
        <x:v>Cortante nominal τ</x:v>
      </x:c>
      <x:c r="B91" s="4" t="n">
        <x:f>IF(CDP!B35="","",CDP!B35)</x:f>
        <x:v>0.0568051738206904</x:v>
      </x:c>
      <x:c r="C91" s="1" t="str">
        <x:v>MPa</x:v>
      </x:c>
      <x:c r="D91" s="24" t="str">
        <x:v>τ = 1,5 |V| / A</x:v>
      </x:c>
    </x:row>
    <x:row r="92" ht="22" customHeight="1">
      <x:c r="A92" s="1" t="str">
        <x:v>Área neta en agujero A_n</x:v>
      </x:c>
      <x:c r="B92" s="4" t="str">
        <x:f>IF(CDP!B36="","",CDP!B36)</x:f>
      </x:c>
      <x:c r="C92" s="1" t="str">
        <x:v>mm²</x:v>
      </x:c>
      <x:c r="D92" s="24" t="str">
        <x:v>A_n = (w − d) t</x:v>
      </x:c>
    </x:row>
    <x:row r="93" ht="22" customHeight="1">
      <x:c r="A93" s="1" t="str">
        <x:v>Normal en ligamento σ_n</x:v>
      </x:c>
      <x:c r="B93" s="4" t="str">
        <x:f>IF(CDP!B37="","",CDP!B37)</x:f>
      </x:c>
      <x:c r="C93" s="1" t="str">
        <x:v>MPa</x:v>
      </x:c>
      <x:c r="D93" s="24" t="str">
        <x:v>σ_n = |N| / A_n</x:v>
      </x:c>
    </x:row>
    <x:row r="94" ht="22" customHeight="1">
      <x:c r="A94" s="1" t="str">
        <x:v>Aplastamiento p</x:v>
      </x:c>
      <x:c r="B94" s="4" t="str">
        <x:f>IF(CDP!B38="","",CDP!B38)</x:f>
      </x:c>
      <x:c r="C94" s="1" t="str">
        <x:v>MPa</x:v>
      </x:c>
      <x:c r="D94" s="24" t="str">
        <x:v>p = F_perno / (t d)</x:v>
      </x:c>
    </x:row>
    <x:row r="95" ht="22" customHeight="1">
      <x:c r="A95" s="1" t="str">
        <x:v>Arrancamiento τ_arr</x:v>
      </x:c>
      <x:c r="B95" s="4" t="str">
        <x:f>IF(CDP!B39="","",CDP!B39)</x:f>
      </x:c>
      <x:c r="C95" s="1" t="str">
        <x:v>MPa</x:v>
      </x:c>
      <x:c r="D95" s="24" t="str">
        <x:v>τ_arr = F_perno / (2 t e)</x:v>
      </x:c>
    </x:row>
    <x:row r="96" ht="22" customHeight="1">
      <x:c r="A96" s="1" t="str">
        <x:v>FS normal combinada</x:v>
      </x:c>
      <x:c r="B96" s="4" t="str">
        <x:f>IF(CDP!B42="","",CDP!B42)</x:f>
      </x:c>
      <x:c r="C96" s="1" t="str">
        <x:v>—</x:v>
      </x:c>
      <x:c r="D96" s="24" t="str">
        <x:v>FS = σ_adm / σ_comb</x:v>
      </x:c>
    </x:row>
    <x:row r="97" ht="22" customHeight="1">
      <x:c r="A97" s="1" t="str">
        <x:v>FS cortante</x:v>
      </x:c>
      <x:c r="B97" s="4" t="str">
        <x:f>IF(CDP!B43="","",CDP!B43)</x:f>
      </x:c>
      <x:c r="C97" s="1" t="str">
        <x:v>—</x:v>
      </x:c>
      <x:c r="D97" s="24" t="str">
        <x:v>FS = τ_adm / τ</x:v>
      </x:c>
    </x:row>
    <x:row r="98" ht="22" customHeight="1">
      <x:c r="A98" s="1" t="str">
        <x:v>FS aplastamiento</x:v>
      </x:c>
      <x:c r="B98" s="4" t="str">
        <x:f>IF(CDP!B44="","",CDP!B44)</x:f>
      </x:c>
      <x:c r="C98" s="1" t="str">
        <x:v>—</x:v>
      </x:c>
      <x:c r="D98" s="24" t="str">
        <x:v>FS = p_adm / p</x:v>
      </x:c>
    </x:row>
    <x:row r="99" ht="22" customHeight="1">
      <x:c r="A99" s="1" t="str">
        <x:v>FS ligamento axial</x:v>
      </x:c>
      <x:c r="B99" s="4" t="str">
        <x:f>IF(CDP!B45="","",CDP!B45)</x:f>
      </x:c>
      <x:c r="C99" s="1" t="str">
        <x:v>—</x:v>
      </x:c>
      <x:c r="D99" s="24" t="str">
        <x:v>FS = σ_adm / σ_n</x:v>
      </x:c>
    </x:row>
    <x:row r="100" ht="22" customHeight="1">
      <x:c r="A100" s="1" t="str">
        <x:v>FS arrancamiento</x:v>
      </x:c>
      <x:c r="B100" s="4" t="str">
        <x:f>IF(CDP!B46="","",CDP!B46)</x:f>
      </x:c>
      <x:c r="C100" s="1" t="str">
        <x:v>—</x:v>
      </x:c>
      <x:c r="D100" s="24" t="str">
        <x:v>FS = τ_adm / τ_arr</x:v>
      </x:c>
    </x:row>
    <x:row r="101" ht="22" customHeight="1">
      <x:c r="A101" s="1" t="str">
        <x:v>Estado de verificación</x:v>
      </x:c>
      <x:c r="B101" s="4" t="str">
        <x:f>IF(CDP!B47="PENDIENTE CAD Y MATERIAL","Pendiente",IF(CDP!B47="REVISAR DATOS","Datos inválidos","Revisar cortes"))</x:f>
        <x:v>Pendiente</x:v>
      </x:c>
      <x:c r="C101" s="1"/>
      <x:c r="D101" s="24" t="str">
        <x:v>Agujeros, material y secciones críticas por confirmar</x:v>
      </x:c>
    </x:row>
    <x:row r="102">
      <x:c r="A102" s="1"/>
      <x:c r="B102" s="4"/>
      <x:c r="C102" s="1"/>
      <x:c r="D102" s="1"/>
    </x:row>
    <x:row r="103" ht="23" customHeight="1">
      <x:c r="A103" s="6" t="str">
        <x:v>CDP: esfuerzos del brazo corto D–C</x:v>
      </x:c>
      <x:c r="B103" s="8"/>
      <x:c r="C103" s="6"/>
      <x:c r="D103" s="6"/>
    </x:row>
    <x:row r="104" ht="23" customHeight="1">
      <x:c r="A104" s="21" t="str">
        <x:v>Magnitud</x:v>
      </x:c>
      <x:c r="B104" s="22" t="str">
        <x:v>Resultado</x:v>
      </x:c>
      <x:c r="C104" s="21" t="str">
        <x:v>Unidad</x:v>
      </x:c>
      <x:c r="D104" s="21" t="str">
        <x:v>Ecuación de verificación</x:v>
      </x:c>
    </x:row>
    <x:row r="105" ht="22" customHeight="1">
      <x:c r="A105" s="1" t="str">
        <x:v>Posición del corte</x:v>
      </x:c>
      <x:c r="B105" s="4" t="n">
        <x:f>CDP!B50</x:f>
        <x:v>0.5</x:v>
      </x:c>
      <x:c r="C105" s="1" t="str">
        <x:v>fracción</x:v>
      </x:c>
      <x:c r="D105" s="24" t="str">
        <x:v>s medido desde D hacia C</x:v>
      </x:c>
    </x:row>
    <x:row r="106" ht="22" customHeight="1">
      <x:c r="A106" s="1" t="str">
        <x:v>Axial firmado</x:v>
      </x:c>
      <x:c r="B106" s="4" t="n">
        <x:f>CDP!B51</x:f>
        <x:v>-6.4148408240137815</x:v>
      </x:c>
      <x:c r="C106" s="1" t="str">
        <x:v>N</x:v>
      </x:c>
      <x:c r="D106" s="24" t="str">
        <x:v>N_DC = −F_C · u_DC</x:v>
      </x:c>
    </x:row>
    <x:row r="107" ht="22" customHeight="1">
      <x:c r="A107" s="1" t="str">
        <x:v>Cortante firmado</x:v>
      </x:c>
      <x:c r="B107" s="4" t="n">
        <x:f>CDP!B52</x:f>
        <x:v>10.232663506610352</x:v>
      </x:c>
      <x:c r="C107" s="1" t="str">
        <x:v>N</x:v>
      </x:c>
      <x:c r="D107" s="24" t="str">
        <x:v>V_DC = −F_C · n_DC</x:v>
      </x:c>
    </x:row>
    <x:row r="108" ht="22" customHeight="1">
      <x:c r="A108" s="1" t="str">
        <x:v>Momento firmado</x:v>
      </x:c>
      <x:c r="B108" s="4" t="n">
        <x:f>CDP!B53</x:f>
        <x:v>260.932919418564</x:v>
      </x:c>
      <x:c r="C108" s="1" t="str">
        <x:v>N·mm</x:v>
      </x:c>
      <x:c r="D108" s="24" t="str">
        <x:v>M_DC = −(1−s) [(r_C−r_D)×F_C]</x:v>
      </x:c>
    </x:row>
    <x:row r="109">
      <x:c r="A109" s="1"/>
      <x:c r="B109" s="4"/>
      <x:c r="C109" s="1"/>
      <x:c r="D109" s="1"/>
    </x:row>
    <x:row r="110">
      <x:c r="A110" s="1" t="str">
        <x:v>Límite del método</x:v>
      </x:c>
      <x:c r="B110" s="4" t="str">
        <x:v>Sección nominal</x:v>
      </x:c>
      <x:c r="C110" s="1"/>
      <x:c r="D110" s="1" t="str">
        <x:v>Agujeros y unión triangular: verificar CAD; sin concentración de tensiones</x:v>
      </x:c>
    </x:row>
    <x:row r="111">
      <x:c r="A111" s="1"/>
      <x:c r="B111" s="4"/>
      <x:c r="C111" s="1"/>
      <x:c r="D111" s="1"/>
    </x:row>
    <x:row r="112" ht="23" customHeight="1">
      <x:c r="A112" s="6" t="str">
        <x:v>Equilibrio para obtener las reacciones articulares</x:v>
      </x:c>
      <x:c r="B112" s="8"/>
      <x:c r="C112" s="6"/>
      <x:c r="D112" s="6"/>
    </x:row>
    <x:row r="113" ht="23" customHeight="1">
      <x:c r="A113" s="21" t="str">
        <x:v>Magnitud</x:v>
      </x:c>
      <x:c r="B113" s="22" t="str">
        <x:v>Resultado</x:v>
      </x:c>
      <x:c r="C113" s="21" t="str">
        <x:v>Unidad</x:v>
      </x:c>
      <x:c r="D113" s="21" t="str">
        <x:v>Ecuación de verificación</x:v>
      </x:c>
    </x:row>
    <x:row r="114" ht="22" customHeight="1">
      <x:c r="A114" s="1" t="str">
        <x:v>Momento de BC en B</x:v>
      </x:c>
      <x:c r="B114" s="4" t="n">
        <x:f>Fuerzas!B44*Fuerzas!B53+Fuerzas!B45*Fuerzas!B54-Fuerzas!B46</x:f>
        <x:v>-1.4477308241112041e-13</x:v>
      </x:c>
      <x:c r="C114" s="1" t="str">
        <x:v>N·mm</x:v>
      </x:c>
      <x:c r="D114" s="24" t="str">
        <x:v>−Δy_BC C_x + Δx_BC C_y − W_BC Δx_G = 0</x:v>
      </x:c>
    </x:row>
    <x:row r="115" ht="22" customHeight="1">
      <x:c r="A115" s="1" t="str">
        <x:v>Momento de CDP en D</x:v>
      </x:c>
      <x:c r="B115" s="4" t="n">
        <x:f>Fuerzas!B47*Fuerzas!B53+Fuerzas!B48*Fuerzas!B54-Fuerzas!B49</x:f>
        <x:v>0</x:v>
      </x:c>
      <x:c r="C115" s="1" t="str">
        <x:v>N·mm</x:v>
      </x:c>
      <x:c r="D115" s="24" t="str">
        <x:v>Δy_DC C_x − Δx_DC C_y + M_D,ext = 0</x:v>
      </x:c>
    </x:row>
    <x:row r="116" ht="22" customHeight="1">
      <x:c r="A116" s="1" t="str">
        <x:v>Reacción C_x</x:v>
      </x:c>
      <x:c r="B116" s="4" t="n">
        <x:f>Fuerzas!B53</x:f>
        <x:v>10.154304202899574</x:v>
      </x:c>
      <x:c r="C116" s="1" t="str">
        <x:v>N</x:v>
      </x:c>
      <x:c r="D116" s="24" t="str">
        <x:v>C_x = (u d − b v) / (a d − b c)</x:v>
      </x:c>
    </x:row>
    <x:row r="117" ht="22" customHeight="1">
      <x:c r="A117" s="1" t="str">
        <x:v>Reacción C_y</x:v>
      </x:c>
      <x:c r="B117" s="4" t="n">
        <x:f>Fuerzas!B54</x:f>
        <x:v>-6.538171869255596</x:v>
      </x:c>
      <x:c r="C117" s="1" t="str">
        <x:v>N</x:v>
      </x:c>
      <x:c r="D117" s="24" t="str">
        <x:v>C_y = (a v − u c) / (a d − b c)</x:v>
      </x:c>
    </x:row>
    <x:row r="118" ht="22" customHeight="1">
      <x:c r="A118" s="1" t="str">
        <x:v>Reacción D_x</x:v>
      </x:c>
      <x:c r="B118" s="4" t="n">
        <x:f>Fuerzas!B56</x:f>
        <x:v>-10.154304202899574</x:v>
      </x:c>
      <x:c r="C118" s="1" t="str">
        <x:v>N</x:v>
      </x:c>
      <x:c r="D118" s="24" t="str">
        <x:v>D_x = F_Px − C_x</x:v>
      </x:c>
    </x:row>
    <x:row r="119" ht="22" customHeight="1">
      <x:c r="A119" s="1" t="str">
        <x:v>Reacción D_y</x:v>
      </x:c>
      <x:c r="B119" s="4" t="n">
        <x:f>Fuerzas!B57</x:f>
        <x:v>10.182586869255594</x:v>
      </x:c>
      <x:c r="C119" s="1" t="str">
        <x:v>N</x:v>
      </x:c>
      <x:c r="D119" s="24" t="str">
        <x:v>D_y = F_Py − W_CDP − C_y</x:v>
      </x:c>
    </x:row>
    <x:row r="120" ht="22" customHeight="1">
      <x:c r="A120" s="1" t="str">
        <x:v>Reacción A_x</x:v>
      </x:c>
      <x:c r="B120" s="4" t="n">
        <x:f>Fuerzas!B58</x:f>
        <x:v>10.154304202899574</x:v>
      </x:c>
      <x:c r="C120" s="1" t="str">
        <x:v>N</x:v>
      </x:c>
      <x:c r="D120" s="24" t="str">
        <x:v>A_x = −D_x</x:v>
      </x:c>
    </x:row>
    <x:row r="121" ht="22" customHeight="1">
      <x:c r="A121" s="1" t="str">
        <x:v>Reacción A_y</x:v>
      </x:c>
      <x:c r="B121" s="4" t="n">
        <x:f>Fuerzas!B59</x:f>
        <x:v>-9.898096869255594</x:v>
      </x:c>
      <x:c r="C121" s="1" t="str">
        <x:v>N</x:v>
      </x:c>
      <x:c r="D121" s="24" t="str">
        <x:v>A_y = W_AD − D_y</x:v>
      </x:c>
    </x:row>
    <x:row r="122" ht="22" customHeight="1">
      <x:c r="A122" s="1" t="str">
        <x:v>Reacción B_x</x:v>
      </x:c>
      <x:c r="B122" s="4" t="n">
        <x:f>Fuerzas!B60</x:f>
        <x:v>-10.154304202899574</x:v>
      </x:c>
      <x:c r="C122" s="1" t="str">
        <x:v>N</x:v>
      </x:c>
      <x:c r="D122" s="24" t="str">
        <x:v>B_x = −C_x</x:v>
      </x:c>
    </x:row>
    <x:row r="123" ht="22" customHeight="1">
      <x:c r="A123" s="1" t="str">
        <x:v>Reacción B_y</x:v>
      </x:c>
      <x:c r="B123" s="4" t="n">
        <x:f>Fuerzas!B61</x:f>
        <x:v>6.606841869255596</x:v>
      </x:c>
      <x:c r="C123" s="1" t="str">
        <x:v>N</x:v>
      </x:c>
      <x:c r="D123" s="24" t="str">
        <x:v>B_y = W_BC − C_y</x:v>
      </x:c>
    </x:row>
    <x:row r="124">
      <x:c r="A124" s="1"/>
      <x:c r="B124" s="4"/>
      <x:c r="C124" s="1"/>
      <x:c r="D124" s="1"/>
    </x:row>
    <x:row r="125">
      <x:c r="A125" s="1" t="str">
        <x:v>Convención</x:v>
      </x:c>
      <x:c r="B125" s="4" t="str">
        <x:v>Por componente</x:v>
      </x:c>
      <x:c r="C125" s="1"/>
      <x:c r="D125" s="1" t="str">
        <x:v>a, b, c, d, u, v se definen en la hoja Fuerzas, filas 44–49</x:v>
      </x:c>
    </x:row>
    <x:row r="126">
      <x:c r="A126" s="1"/>
      <x:c r="B126" s="4"/>
      <x:c r="C126" s="1"/>
      <x:c r="D12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16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Eslabón AD</x:v>
      </x:c>
      <x:c r="B2" s="2"/>
      <x:c r="C2" s="2"/>
      <x:c r="D2" s="2"/>
    </x:row>
    <x:row r="3">
      <x:c r="A3" s="3" t="str">
        <x:v>Corte sobre A→D; tramo idealizado recto. Incluye peso propio si queda del lado D.</x:v>
      </x:c>
      <x:c r="B3" s="3"/>
      <x:c r="C3" s="3"/>
      <x:c r="D3" s="3"/>
    </x:row>
    <x:row r="4">
      <x:c r="A4" s="1"/>
      <x:c r="B4" s="1"/>
      <x:c r="C4" s="1"/>
      <x:c r="D4" s="1"/>
    </x:row>
    <x:row r="5" ht="23" customHeight="1">
      <x:c r="A5" s="6" t="str">
        <x:v>Sección y material</x:v>
      </x:c>
      <x:c r="B5" s="8"/>
      <x:c r="C5" s="6"/>
      <x:c r="D5" s="6"/>
    </x:row>
    <x:row r="6">
      <x:c r="A6" s="1" t="str">
        <x:v>Posición del corte</x:v>
      </x:c>
      <x:c r="B6" s="16" t="n">
        <x:v>0.5</x:v>
      </x:c>
      <x:c r="C6" s="1" t="str">
        <x:v>fracción</x:v>
      </x:c>
      <x:c r="D6" s="1" t="str">
        <x:v>Medida desde el primer nudo hacia el segundo</x:v>
      </x:c>
    </x:row>
    <x:row r="7">
      <x:c r="A7" s="1" t="str">
        <x:v>Ancho local w</x:v>
      </x:c>
      <x:c r="B7" s="16" t="n">
        <x:v>20</x:v>
      </x:c>
      <x:c r="C7" s="1" t="str">
        <x:v>mm</x:v>
      </x:c>
      <x:c r="D7" s="1" t="str">
        <x:v>Supuesto: altura de viga en el plano; sustituir por el CAD</x:v>
      </x:c>
    </x:row>
    <x:row r="8">
      <x:c r="A8" s="1" t="str">
        <x:v>Espesor local t</x:v>
      </x:c>
      <x:c r="B8" s="16" t="n">
        <x:v>5</x:v>
      </x:c>
      <x:c r="C8" s="1" t="str">
        <x:v>mm</x:v>
      </x:c>
      <x:c r="D8" s="1" t="str">
        <x:v>Supuesto: espesor fuera del plano; sustituir por el CAD</x:v>
      </x:c>
    </x:row>
    <x:row r="9">
      <x:c r="A9" s="1" t="str">
        <x:v>Diámetro de agujero d</x:v>
      </x:c>
      <x:c r="B9" s="16"/>
      <x:c r="C9" s="1" t="str">
        <x:v>mm</x:v>
      </x:c>
      <x:c r="D9" s="1" t="str">
        <x:v>Para sección neta y aplastamiento</x:v>
      </x:c>
    </x:row>
    <x:row r="10">
      <x:c r="A10" s="1" t="str">
        <x:v>Ligamento hasta borde e</x:v>
      </x:c>
      <x:c r="B10" s="16"/>
      <x:c r="C10" s="1" t="str">
        <x:v>mm</x:v>
      </x:c>
      <x:c r="D10" s="1" t="str">
        <x:v>Distancia libre desde el borde del agujero</x:v>
      </x:c>
    </x:row>
    <x:row r="11">
      <x:c r="A11" s="1" t="str">
        <x:v>Tensión normal admisible</x:v>
      </x:c>
      <x:c r="B11" s="16"/>
      <x:c r="C11" s="1" t="str">
        <x:v>MPa</x:v>
      </x:c>
      <x:c r="D11" s="1" t="str">
        <x:v>Según pieza impresa y orientación real</x:v>
      </x:c>
    </x:row>
    <x:row r="12">
      <x:c r="A12" s="1" t="str">
        <x:v>Tensión cortante admisible</x:v>
      </x:c>
      <x:c r="B12" s="16"/>
      <x:c r="C12" s="1" t="str">
        <x:v>MPa</x:v>
      </x:c>
      <x:c r="D12" s="1" t="str">
        <x:v>Según pieza impresa y orientación real</x:v>
      </x:c>
    </x:row>
    <x:row r="13">
      <x:c r="A13" s="1" t="str">
        <x:v>Aplastamiento admisible</x:v>
      </x:c>
      <x:c r="B13" s="16"/>
      <x:c r="C13" s="1" t="str">
        <x:v>MPa</x:v>
      </x:c>
      <x:c r="D13" s="1" t="str">
        <x:v>Según material y montaje</x:v>
      </x:c>
    </x:row>
    <x:row r="14">
      <x:c r="A14" s="1" t="str">
        <x:v>Fuerza de perno a comprobar</x:v>
      </x:c>
      <x:c r="B14" s="4" t="n">
        <x:f>MAX(SQRT(Fuerzas!B58^2+Fuerzas!B59^2),SQRT(Fuerzas!B56^2+Fuerzas!B57^2))</x:f>
        <x:v>14.380367491651958</x:v>
      </x:c>
      <x:c r="C14" s="1" t="str">
        <x:v>N</x:v>
      </x:c>
      <x:c r="D14" s="1" t="str">
        <x:v>Carga más alta entre los pernos considerados</x:v>
      </x:c>
    </x:row>
    <x:row r="15">
      <x:c r="A15" s="1"/>
      <x:c r="B15" s="4"/>
      <x:c r="C15" s="1"/>
      <x:c r="D15" s="1"/>
    </x:row>
    <x:row r="16" ht="23" customHeight="1">
      <x:c r="A16" s="6" t="str">
        <x:v>Esfuerzos internos de la sección</x:v>
      </x:c>
      <x:c r="B16" s="8"/>
      <x:c r="C16" s="6"/>
      <x:c r="D16" s="6"/>
    </x:row>
    <x:row r="17">
      <x:c r="A17" s="1" t="str">
        <x:v>x del corte</x:v>
      </x:c>
      <x:c r="B17" s="4" t="n">
        <x:f>Fuerzas!B6+B6*(Fuerzas!B8-Fuerzas!B6)</x:f>
        <x:v>68.93654271085457</x:v>
      </x:c>
      <x:c r="C17" s="1" t="str">
        <x:v>mm</x:v>
      </x:c>
      <x:c r="D17" s="1"/>
    </x:row>
    <x:row r="18">
      <x:c r="A18" s="1" t="str">
        <x:v>y del corte</x:v>
      </x:c>
      <x:c r="B18" s="4" t="n">
        <x:f>Fuerzas!C6+B6*(Fuerzas!C8-Fuerzas!C6)</x:f>
        <x:v>-12.155372436685123</x:v>
      </x:c>
      <x:c r="C18" s="1" t="str">
        <x:v>mm</x:v>
      </x:c>
      <x:c r="D18" s="1"/>
    </x:row>
    <x:row r="19">
      <x:c r="A19" s="1" t="str">
        <x:v>Fuerzas del lado aislado: Fx</x:v>
      </x:c>
      <x:c r="B19" s="4" t="n">
        <x:f>Fuerzas!B56</x:f>
        <x:v>-10.154304202899574</x:v>
      </x:c>
      <x:c r="C19" s="1" t="str">
        <x:v>N</x:v>
      </x:c>
      <x:c r="D19" s="1"/>
    </x:row>
    <x:row r="20">
      <x:c r="A20" s="1" t="str">
        <x:v>Fuerzas del lado aislado: Fy</x:v>
      </x:c>
      <x:c r="B20" s="4" t="n">
        <x:f>Fuerzas!B57-IF(B6&lt;Datos!B24,Fuerzas!B30,0)</x:f>
        <x:v>10.182586869255594</x:v>
      </x:c>
      <x:c r="C20" s="1" t="str">
        <x:v>N</x:v>
      </x:c>
      <x:c r="D20" s="1"/>
    </x:row>
    <x:row r="21">
      <x:c r="A21" s="1" t="str">
        <x:v>Dirección del tramo ux</x:v>
      </x:c>
      <x:c r="B21" s="4" t="n">
        <x:f>(Fuerzas!B8-Fuerzas!B6)/Datos!B9</x:f>
        <x:v>0.9848077530122081</x:v>
      </x:c>
      <x:c r="C21" s="1" t="str">
        <x:v>—</x:v>
      </x:c>
      <x:c r="D21" s="1"/>
    </x:row>
    <x:row r="22">
      <x:c r="A22" s="1" t="str">
        <x:v>Dirección del tramo uy</x:v>
      </x:c>
      <x:c r="B22" s="4" t="n">
        <x:f>(Fuerzas!C8-Fuerzas!C6)/Datos!B9</x:f>
        <x:v>-0.17364817766693033</x:v>
      </x:c>
      <x:c r="C22" s="1" t="str">
        <x:v>—</x:v>
      </x:c>
      <x:c r="D22" s="1"/>
    </x:row>
    <x:row r="23">
      <x:c r="A23" s="1" t="str">
        <x:v>Normal al tramo nx</x:v>
      </x:c>
      <x:c r="B23" s="4" t="n">
        <x:f>-B22</x:f>
        <x:v>0.17364817766693033</x:v>
      </x:c>
      <x:c r="C23" s="1" t="str">
        <x:v>—</x:v>
      </x:c>
      <x:c r="D23" s="1"/>
    </x:row>
    <x:row r="24">
      <x:c r="A24" s="1" t="str">
        <x:v>Normal al tramo ny</x:v>
      </x:c>
      <x:c r="B24" s="4" t="n">
        <x:f>B21</x:f>
        <x:v>0.9848077530122081</x:v>
      </x:c>
      <x:c r="C24" s="1" t="str">
        <x:v>—</x:v>
      </x:c>
      <x:c r="D24" s="1"/>
    </x:row>
    <x:row r="25">
      <x:c r="A25" s="1" t="str">
        <x:v>Axial firmado N</x:v>
      </x:c>
      <x:c r="B25" s="18" t="n">
        <x:f>B19*B21+B20*B22</x:f>
        <x:v>-11.768225159241398</x:v>
      </x:c>
      <x:c r="C25" s="1" t="str">
        <x:v>N</x:v>
      </x:c>
      <x:c r="D25" s="1" t="str">
        <x:v>Positivo si la carga aislada apunta hacia el extremo</x:v>
      </x:c>
    </x:row>
    <x:row r="26">
      <x:c r="A26" s="1" t="str">
        <x:v>Cortante firmado V</x:v>
      </x:c>
      <x:c r="B26" s="18" t="n">
        <x:f>B19*B23+B20*B24</x:f>
        <x:v>8.264614074254053</x:v>
      </x:c>
      <x:c r="C26" s="1" t="str">
        <x:v>N</x:v>
      </x:c>
      <x:c r="D26" s="1"/>
    </x:row>
    <x:row r="27">
      <x:c r="A27" s="1" t="str">
        <x:v>Momento en el corte</x:v>
      </x:c>
      <x:c r="B27" s="18" t="n">
        <x:f>(Fuerzas!B8-B17)*Fuerzas!B57-(Fuerzas!C8-B18)*Fuerzas!B56-IF(B6&lt;Datos!B24,(Fuerzas!B11-B17)*Fuerzas!B30,0)</x:f>
        <x:v>578.5229851977838</x:v>
      </x:c>
      <x:c r="C27" s="1" t="str">
        <x:v>N·mm</x:v>
      </x:c>
      <x:c r="D27" s="1" t="str">
        <x:v>Se muestra con signo; usar valor absoluto para tensiones</x:v>
      </x:c>
    </x:row>
    <x:row r="28">
      <x:c r="A28" s="1"/>
      <x:c r="B28" s="4"/>
      <x:c r="C28" s="1"/>
      <x:c r="D28" s="1"/>
    </x:row>
    <x:row r="29" ht="23" customHeight="1">
      <x:c r="A29" s="6" t="str">
        <x:v>Verificación nominal de sección rectangular</x:v>
      </x:c>
      <x:c r="B29" s="8"/>
      <x:c r="C29" s="6"/>
      <x:c r="D29" s="6"/>
    </x:row>
    <x:row r="30">
      <x:c r="A30" s="1" t="str">
        <x:v>Área bruta A</x:v>
      </x:c>
      <x:c r="B30" s="4" t="n">
        <x:f>IF(OR(B7="",B8=""),"",B7*B8)</x:f>
        <x:v>100</x:v>
      </x:c>
      <x:c r="C30" s="1" t="str">
        <x:v>mm²</x:v>
      </x:c>
      <x:c r="D30" s="1"/>
    </x:row>
    <x:row r="31">
      <x:c r="A31" s="1" t="str">
        <x:v>Inercia en el plano Iz</x:v>
      </x:c>
      <x:c r="B31" s="4" t="n">
        <x:f>IF(OR(B7="",B8=""),"",B8*B7^3/12)</x:f>
        <x:v>3333.3333333333335</x:v>
      </x:c>
      <x:c r="C31" s="1" t="str">
        <x:v>mm⁴</x:v>
      </x:c>
      <x:c r="D31" s="1" t="str">
        <x:v>Flexión en el plano x-y</x:v>
      </x:c>
    </x:row>
    <x:row r="32">
      <x:c r="A32" s="1" t="str">
        <x:v>Tensión axial |N|/A</x:v>
      </x:c>
      <x:c r="B32" s="4" t="n">
        <x:f>IF(B30="","",ABS(B25)/B30)</x:f>
        <x:v>0.11768225159241398</x:v>
      </x:c>
      <x:c r="C32" s="1" t="str">
        <x:v>MPa</x:v>
      </x:c>
      <x:c r="D32" s="1"/>
    </x:row>
    <x:row r="33">
      <x:c r="A33" s="1" t="str">
        <x:v>Tensión de flexión |M|·w/(2Iz)</x:v>
      </x:c>
      <x:c r="B33" s="4" t="n">
        <x:f>IF(B31="","",ABS(B27)*B7/(2*B31))</x:f>
        <x:v>1.7355689555933513</x:v>
      </x:c>
      <x:c r="C33" s="1" t="str">
        <x:v>MPa</x:v>
      </x:c>
      <x:c r="D33" s="1"/>
    </x:row>
    <x:row r="34">
      <x:c r="A34" s="1" t="str">
        <x:v>Normal combinada conservadora</x:v>
      </x:c>
      <x:c r="B34" s="18" t="n">
        <x:f>IF(B32="","",B32+B33)</x:f>
        <x:v>1.8532512071857654</x:v>
      </x:c>
      <x:c r="C34" s="1" t="str">
        <x:v>MPa</x:v>
      </x:c>
      <x:c r="D34" s="1"/>
    </x:row>
    <x:row r="35">
      <x:c r="A35" s="1" t="str">
        <x:v>Cortante rectangular aprox.</x:v>
      </x:c>
      <x:c r="B35" s="18" t="n">
        <x:f>IF(B30="","",1.5*ABS(B26)/B30)</x:f>
        <x:v>0.12396921111381079</x:v>
      </x:c>
      <x:c r="C35" s="1" t="str">
        <x:v>MPa</x:v>
      </x:c>
      <x:c r="D35" s="1"/>
    </x:row>
    <x:row r="36">
      <x:c r="A36" s="1" t="str">
        <x:v>Área neta en agujero</x:v>
      </x:c>
      <x:c r="B36" s="4" t="str">
        <x:f>IF(OR(B7="",B8="",B9=""),"",(B7-B9)*B8)</x:f>
      </x:c>
      <x:c r="C36" s="1" t="str">
        <x:v>mm²</x:v>
      </x:c>
      <x:c r="D36" s="1"/>
    </x:row>
    <x:row r="37">
      <x:c r="A37" s="1" t="str">
        <x:v>Normal en ligamento</x:v>
      </x:c>
      <x:c r="B37" s="4" t="str">
        <x:f>IF(B36="","",ABS(B25)/B36)</x:f>
      </x:c>
      <x:c r="C37" s="1" t="str">
        <x:v>MPa</x:v>
      </x:c>
      <x:c r="D37" s="1" t="str">
        <x:v>Comprobar sección real del agujero</x:v>
      </x:c>
    </x:row>
    <x:row r="38">
      <x:c r="A38" s="1" t="str">
        <x:v>Aplastamiento en perno</x:v>
      </x:c>
      <x:c r="B38" s="4" t="str">
        <x:f>IF(OR(B8="",B9=""),"",B14/(B8*B9))</x:f>
      </x:c>
      <x:c r="C38" s="1" t="str">
        <x:v>MPa</x:v>
      </x:c>
      <x:c r="D38" s="1"/>
    </x:row>
    <x:row r="39">
      <x:c r="A39" s="1" t="str">
        <x:v>Arrancamiento aprox.</x:v>
      </x:c>
      <x:c r="B39" s="4" t="str">
        <x:f>IF(OR(B8="",B10=""),"",B14/(2*B8*B10))</x:f>
      </x:c>
      <x:c r="C39" s="1" t="str">
        <x:v>MPa</x:v>
      </x:c>
      <x:c r="D39" s="1"/>
    </x:row>
    <x:row r="40">
      <x:c r="A40" s="1"/>
      <x:c r="B40" s="4"/>
      <x:c r="C40" s="1"/>
      <x:c r="D40" s="1"/>
    </x:row>
    <x:row r="41" ht="23" customHeight="1">
      <x:c r="A41" s="6" t="str">
        <x:v>Márgenes: completar admisibles</x:v>
      </x:c>
      <x:c r="B41" s="8"/>
      <x:c r="C41" s="6"/>
      <x:c r="D41" s="6"/>
    </x:row>
    <x:row r="42">
      <x:c r="A42" s="1" t="str">
        <x:v>FS normal combinada</x:v>
      </x:c>
      <x:c r="B42" s="4" t="str">
        <x:f>IF(OR(B11="",B34=""),"",B11/B34)</x:f>
      </x:c>
      <x:c r="C42" s="1" t="str">
        <x:v>—</x:v>
      </x:c>
      <x:c r="D42" s="1"/>
    </x:row>
    <x:row r="43">
      <x:c r="A43" s="1" t="str">
        <x:v>FS cortante</x:v>
      </x:c>
      <x:c r="B43" s="4" t="str">
        <x:f>IF(OR(B12="",B35=""),"",B12/B35)</x:f>
      </x:c>
      <x:c r="C43" s="1" t="str">
        <x:v>—</x:v>
      </x:c>
      <x:c r="D43" s="1"/>
    </x:row>
    <x:row r="44">
      <x:c r="A44" s="1" t="str">
        <x:v>FS aplastamiento</x:v>
      </x:c>
      <x:c r="B44" s="4" t="str">
        <x:f>IF(OR(B13="",B38=""),"",B13/B38)</x:f>
      </x:c>
      <x:c r="C44" s="1" t="str">
        <x:v>—</x:v>
      </x:c>
      <x:c r="D44" s="1"/>
    </x:row>
    <x:row r="45">
      <x:c r="A45" s="1" t="str">
        <x:v>FS ligamento axial</x:v>
      </x:c>
      <x:c r="B45" s="4" t="str">
        <x:f>IF(OR(B11="",B37=""),"",B11/B37)</x:f>
      </x:c>
      <x:c r="C45" s="1" t="str">
        <x:v>—</x:v>
      </x:c>
      <x:c r="D45" s="1"/>
    </x:row>
    <x:row r="46">
      <x:c r="A46" s="1" t="str">
        <x:v>FS arrancamiento</x:v>
      </x:c>
      <x:c r="B46" s="4" t="str">
        <x:f>IF(OR(B12="",B39=""),"",B12/B39)</x:f>
      </x:c>
      <x:c r="C46" s="1" t="str">
        <x:v>—</x:v>
      </x:c>
      <x:c r="D46" s="1" t="str">
        <x:v>Corte de dos ligamentos junto al agujero</x:v>
      </x:c>
    </x:row>
    <x:row r="47">
      <x:c r="A47" s="1" t="str">
        <x:v>Estado de dimensionamiento</x:v>
      </x:c>
      <x:c r="B47" s="18" t="str">
        <x:f>IF(COUNT(B7:B13)&lt;7,"PENDIENTE CAD Y MATERIAL",IF(OR(B7&lt;=B9,B8&lt;=0,B9&lt;=0,B10&lt;=0,B11&lt;=0,B12&lt;=0,B13&lt;=0),"REVISAR DATOS","CALCULADO: REVISAR SECCIONES"))</x:f>
        <x:v>PENDIENTE CAD Y MATERIAL</x:v>
      </x:c>
      <x:c r="C47" s="1"/>
      <x:c r="D47" s="1" t="str">
        <x:v>La placa aligerada requiere identificar varias secciones críticas</x:v>
      </x:c>
    </x:row>
    <x:row r="48">
      <x:c r="A48" s="1"/>
      <x:c r="B48" s="4"/>
      <x:c r="C48" s="1"/>
      <x:c r="D48" s="1"/>
    </x:row>
    <x:row r="49">
      <x:c r="A49" s="1"/>
      <x:c r="B49" s="4"/>
      <x:c r="C49" s="1"/>
      <x:c r="D49" s="1"/>
    </x:row>
    <x:row r="50">
      <x:c r="A50" s="1"/>
      <x:c r="B50" s="4"/>
      <x:c r="C50" s="1"/>
      <x:c r="D50" s="1"/>
    </x:row>
    <x:row r="51">
      <x:c r="A51" s="1"/>
      <x:c r="B51" s="4"/>
      <x:c r="C51" s="1"/>
      <x:c r="D51" s="1"/>
    </x:row>
    <x:row r="52">
      <x:c r="A52" s="1"/>
      <x:c r="B52" s="4"/>
      <x:c r="C52" s="1"/>
      <x:c r="D52" s="1"/>
    </x:row>
    <x:row r="53">
      <x:c r="A53" s="1"/>
      <x:c r="B53" s="4"/>
      <x:c r="C53" s="1"/>
      <x:c r="D53" s="1"/>
    </x:row>
    <x:row r="54">
      <x:c r="A54" s="1"/>
      <x:c r="B54" s="4"/>
      <x:c r="C54" s="1"/>
      <x:c r="D5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16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Eslabón BC</x:v>
      </x:c>
      <x:c r="B2" s="2"/>
      <x:c r="C2" s="2"/>
      <x:c r="D2" s="2"/>
    </x:row>
    <x:row r="3">
      <x:c r="A3" s="3" t="str">
        <x:v>Corte sobre B→C; incluye el peso propio del lado C si corresponde.</x:v>
      </x:c>
      <x:c r="B3" s="3"/>
      <x:c r="C3" s="3"/>
      <x:c r="D3" s="3"/>
    </x:row>
    <x:row r="4">
      <x:c r="A4" s="1"/>
      <x:c r="B4" s="1"/>
      <x:c r="C4" s="1"/>
      <x:c r="D4" s="1"/>
    </x:row>
    <x:row r="5" ht="23" customHeight="1">
      <x:c r="A5" s="6" t="str">
        <x:v>Sección y material</x:v>
      </x:c>
      <x:c r="B5" s="8"/>
      <x:c r="C5" s="6"/>
      <x:c r="D5" s="6"/>
    </x:row>
    <x:row r="6">
      <x:c r="A6" s="1" t="str">
        <x:v>Posición del corte</x:v>
      </x:c>
      <x:c r="B6" s="16" t="n">
        <x:v>0.25</x:v>
      </x:c>
      <x:c r="C6" s="1" t="str">
        <x:v>fracción</x:v>
      </x:c>
      <x:c r="D6" s="1" t="str">
        <x:v>Medida desde el primer nudo hacia el segundo</x:v>
      </x:c>
    </x:row>
    <x:row r="7">
      <x:c r="A7" s="1" t="str">
        <x:v>Ancho local w</x:v>
      </x:c>
      <x:c r="B7" s="16" t="n">
        <x:v>20</x:v>
      </x:c>
      <x:c r="C7" s="1" t="str">
        <x:v>mm</x:v>
      </x:c>
      <x:c r="D7" s="1" t="str">
        <x:v>Supuesto: altura de viga en el plano; sustituir por el CAD</x:v>
      </x:c>
    </x:row>
    <x:row r="8">
      <x:c r="A8" s="1" t="str">
        <x:v>Espesor local t</x:v>
      </x:c>
      <x:c r="B8" s="16" t="n">
        <x:v>5</x:v>
      </x:c>
      <x:c r="C8" s="1" t="str">
        <x:v>mm</x:v>
      </x:c>
      <x:c r="D8" s="1" t="str">
        <x:v>Supuesto: espesor fuera del plano; sustituir por el CAD</x:v>
      </x:c>
    </x:row>
    <x:row r="9">
      <x:c r="A9" s="1" t="str">
        <x:v>Diámetro de agujero d</x:v>
      </x:c>
      <x:c r="B9" s="16"/>
      <x:c r="C9" s="1" t="str">
        <x:v>mm</x:v>
      </x:c>
      <x:c r="D9" s="1" t="str">
        <x:v>Para sección neta y aplastamiento</x:v>
      </x:c>
    </x:row>
    <x:row r="10">
      <x:c r="A10" s="1" t="str">
        <x:v>Ligamento hasta borde e</x:v>
      </x:c>
      <x:c r="B10" s="16"/>
      <x:c r="C10" s="1" t="str">
        <x:v>mm</x:v>
      </x:c>
      <x:c r="D10" s="1" t="str">
        <x:v>Distancia libre desde el borde del agujero</x:v>
      </x:c>
    </x:row>
    <x:row r="11">
      <x:c r="A11" s="1" t="str">
        <x:v>Tensión normal admisible</x:v>
      </x:c>
      <x:c r="B11" s="16"/>
      <x:c r="C11" s="1" t="str">
        <x:v>MPa</x:v>
      </x:c>
      <x:c r="D11" s="1" t="str">
        <x:v>Según pieza impresa y orientación real</x:v>
      </x:c>
    </x:row>
    <x:row r="12">
      <x:c r="A12" s="1" t="str">
        <x:v>Tensión cortante admisible</x:v>
      </x:c>
      <x:c r="B12" s="16"/>
      <x:c r="C12" s="1" t="str">
        <x:v>MPa</x:v>
      </x:c>
      <x:c r="D12" s="1" t="str">
        <x:v>Según pieza impresa y orientación real</x:v>
      </x:c>
    </x:row>
    <x:row r="13">
      <x:c r="A13" s="1" t="str">
        <x:v>Aplastamiento admisible</x:v>
      </x:c>
      <x:c r="B13" s="16"/>
      <x:c r="C13" s="1" t="str">
        <x:v>MPa</x:v>
      </x:c>
      <x:c r="D13" s="1" t="str">
        <x:v>Según material y montaje</x:v>
      </x:c>
    </x:row>
    <x:row r="14">
      <x:c r="A14" s="1" t="str">
        <x:v>Fuerza de perno a comprobar</x:v>
      </x:c>
      <x:c r="B14" s="4" t="n">
        <x:f>MAX(Fuerzas!B55,SQRT(Fuerzas!B60^2+Fuerzas!B61^2))</x:f>
        <x:v>12.114464632428986</x:v>
      </x:c>
      <x:c r="C14" s="1" t="str">
        <x:v>N</x:v>
      </x:c>
      <x:c r="D14" s="1" t="str">
        <x:v>Carga más alta entre los pernos considerados</x:v>
      </x:c>
    </x:row>
    <x:row r="15">
      <x:c r="A15" s="1"/>
      <x:c r="B15" s="4"/>
      <x:c r="C15" s="1"/>
      <x:c r="D15" s="1"/>
    </x:row>
    <x:row r="16" ht="23" customHeight="1">
      <x:c r="A16" s="6" t="str">
        <x:v>Esfuerzos internos de la sección</x:v>
      </x:c>
      <x:c r="B16" s="8"/>
      <x:c r="C16" s="6"/>
      <x:c r="D16" s="6"/>
    </x:row>
    <x:row r="17">
      <x:c r="A17" s="1" t="str">
        <x:v>x del corte</x:v>
      </x:c>
      <x:c r="B17" s="4" t="n">
        <x:f>Fuerzas!B7+B6*(Fuerzas!B9-Fuerzas!B7)</x:f>
        <x:v>99.04353028097375</x:v>
      </x:c>
      <x:c r="C17" s="1" t="str">
        <x:v>mm</x:v>
      </x:c>
      <x:c r="D17" s="1"/>
    </x:row>
    <x:row r="18">
      <x:c r="A18" s="1" t="str">
        <x:v>y del corte</x:v>
      </x:c>
      <x:c r="B18" s="4" t="n">
        <x:f>Fuerzas!C7+B6*(Fuerzas!C9-Fuerzas!C7)</x:f>
        <x:v>52.37186713352883</x:v>
      </x:c>
      <x:c r="C18" s="1" t="str">
        <x:v>mm</x:v>
      </x:c>
      <x:c r="D18" s="1"/>
    </x:row>
    <x:row r="19">
      <x:c r="A19" s="1" t="str">
        <x:v>Fuerzas del lado aislado: Fx</x:v>
      </x:c>
      <x:c r="B19" s="4" t="n">
        <x:f>Fuerzas!B53</x:f>
        <x:v>10.154304202899574</x:v>
      </x:c>
      <x:c r="C19" s="1" t="str">
        <x:v>N</x:v>
      </x:c>
      <x:c r="D19" s="1"/>
    </x:row>
    <x:row r="20">
      <x:c r="A20" s="1" t="str">
        <x:v>Fuerzas del lado aislado: Fy</x:v>
      </x:c>
      <x:c r="B20" s="4" t="n">
        <x:f>Fuerzas!B54-IF(B6&lt;Datos!B25,Fuerzas!B28,0)</x:f>
        <x:v>-6.606841869255596</x:v>
      </x:c>
      <x:c r="C20" s="1" t="str">
        <x:v>N</x:v>
      </x:c>
      <x:c r="D20" s="1"/>
    </x:row>
    <x:row r="21">
      <x:c r="A21" s="1" t="str">
        <x:v>Dirección del tramo ux</x:v>
      </x:c>
      <x:c r="B21" s="4" t="n">
        <x:f>(Fuerzas!B9-Fuerzas!B7)/Datos!B10</x:f>
        <x:v>0.8394919159205632</x:v>
      </x:c>
      <x:c r="C21" s="1" t="str">
        <x:v>—</x:v>
      </x:c>
      <x:c r="D21" s="1"/>
    </x:row>
    <x:row r="22">
      <x:c r="A22" s="1" t="str">
        <x:v>Dirección del tramo uy</x:v>
      </x:c>
      <x:c r="B22" s="4" t="n">
        <x:f>(Fuerzas!C9-Fuerzas!C7)/Datos!B10</x:f>
        <x:v>-0.543372177337064</x:v>
      </x:c>
      <x:c r="C22" s="1" t="str">
        <x:v>—</x:v>
      </x:c>
      <x:c r="D22" s="1"/>
    </x:row>
    <x:row r="23">
      <x:c r="A23" s="1" t="str">
        <x:v>Normal al tramo nx</x:v>
      </x:c>
      <x:c r="B23" s="4" t="n">
        <x:f>-B22</x:f>
        <x:v>0.543372177337064</x:v>
      </x:c>
      <x:c r="C23" s="1" t="str">
        <x:v>—</x:v>
      </x:c>
      <x:c r="D23" s="1"/>
    </x:row>
    <x:row r="24">
      <x:c r="A24" s="1" t="str">
        <x:v>Normal al tramo ny</x:v>
      </x:c>
      <x:c r="B24" s="4" t="n">
        <x:f>B21</x:f>
        <x:v>0.8394919159205632</x:v>
      </x:c>
      <x:c r="C24" s="1" t="str">
        <x:v>—</x:v>
      </x:c>
      <x:c r="D24" s="1"/>
    </x:row>
    <x:row r="25">
      <x:c r="A25" s="1" t="str">
        <x:v>Axial firmado N</x:v>
      </x:c>
      <x:c r="B25" s="18" t="n">
        <x:f>B19*B21+B20*B22</x:f>
        <x:v>12.114430341951481</x:v>
      </x:c>
      <x:c r="C25" s="1" t="str">
        <x:v>N</x:v>
      </x:c>
      <x:c r="D25" s="1" t="str">
        <x:v>Positivo si la carga aislada apunta hacia el extremo</x:v>
      </x:c>
    </x:row>
    <x:row r="26">
      <x:c r="A26" s="1" t="str">
        <x:v>Cortante firmado V</x:v>
      </x:c>
      <x:c r="B26" s="18" t="n">
        <x:f>B19*B23+B20*B24</x:f>
        <x:v>-0.02882395493313261</x:v>
      </x:c>
      <x:c r="C26" s="1" t="str">
        <x:v>N</x:v>
      </x:c>
      <x:c r="D26" s="1"/>
    </x:row>
    <x:row r="27">
      <x:c r="A27" s="1" t="str">
        <x:v>Momento en el corte</x:v>
      </x:c>
      <x:c r="B27" s="18" t="n">
        <x:f>(Fuerzas!B9-B17)*Fuerzas!B54-(Fuerzas!C9-B18)*Fuerzas!B53-IF(B6&lt;Datos!B25,(Fuerzas!B12-B17)*Fuerzas!B28,0)</x:f>
        <x:v>0.9728084789931994</x:v>
      </x:c>
      <x:c r="C27" s="1" t="str">
        <x:v>N·mm</x:v>
      </x:c>
      <x:c r="D27" s="1" t="str">
        <x:v>Se muestra con signo; usar valor absoluto para tensiones</x:v>
      </x:c>
    </x:row>
    <x:row r="28">
      <x:c r="A28" s="1"/>
      <x:c r="B28" s="4"/>
      <x:c r="C28" s="1"/>
      <x:c r="D28" s="1"/>
    </x:row>
    <x:row r="29" ht="23" customHeight="1">
      <x:c r="A29" s="6" t="str">
        <x:v>Verificación nominal de sección rectangular</x:v>
      </x:c>
      <x:c r="B29" s="8"/>
      <x:c r="C29" s="6"/>
      <x:c r="D29" s="6"/>
    </x:row>
    <x:row r="30">
      <x:c r="A30" s="1" t="str">
        <x:v>Área bruta A</x:v>
      </x:c>
      <x:c r="B30" s="4" t="n">
        <x:f>IF(OR(B7="",B8=""),"",B7*B8)</x:f>
        <x:v>100</x:v>
      </x:c>
      <x:c r="C30" s="1" t="str">
        <x:v>mm²</x:v>
      </x:c>
      <x:c r="D30" s="1"/>
    </x:row>
    <x:row r="31">
      <x:c r="A31" s="1" t="str">
        <x:v>Inercia en el plano Iz</x:v>
      </x:c>
      <x:c r="B31" s="4" t="n">
        <x:f>IF(OR(B7="",B8=""),"",B8*B7^3/12)</x:f>
        <x:v>3333.3333333333335</x:v>
      </x:c>
      <x:c r="C31" s="1" t="str">
        <x:v>mm⁴</x:v>
      </x:c>
      <x:c r="D31" s="1" t="str">
        <x:v>Flexión en el plano x-y</x:v>
      </x:c>
    </x:row>
    <x:row r="32">
      <x:c r="A32" s="1" t="str">
        <x:v>Tensión axial |N|/A</x:v>
      </x:c>
      <x:c r="B32" s="4" t="n">
        <x:f>IF(B30="","",ABS(B25)/B30)</x:f>
        <x:v>0.1211443034195148</x:v>
      </x:c>
      <x:c r="C32" s="1" t="str">
        <x:v>MPa</x:v>
      </x:c>
      <x:c r="D32" s="1"/>
    </x:row>
    <x:row r="33">
      <x:c r="A33" s="1" t="str">
        <x:v>Tensión de flexión |M|·w/(2Iz)</x:v>
      </x:c>
      <x:c r="B33" s="4" t="n">
        <x:f>IF(B31="","",ABS(B27)*B7/(2*B31))</x:f>
        <x:v>0.002918425436979598</x:v>
      </x:c>
      <x:c r="C33" s="1" t="str">
        <x:v>MPa</x:v>
      </x:c>
      <x:c r="D33" s="1"/>
    </x:row>
    <x:row r="34">
      <x:c r="A34" s="1" t="str">
        <x:v>Normal combinada conservadora</x:v>
      </x:c>
      <x:c r="B34" s="18" t="n">
        <x:f>IF(B32="","",B32+B33)</x:f>
        <x:v>0.1240627288564944</x:v>
      </x:c>
      <x:c r="C34" s="1" t="str">
        <x:v>MPa</x:v>
      </x:c>
      <x:c r="D34" s="1"/>
    </x:row>
    <x:row r="35">
      <x:c r="A35" s="1" t="str">
        <x:v>Cortante rectangular aprox.</x:v>
      </x:c>
      <x:c r="B35" s="18" t="n">
        <x:f>IF(B30="","",1.5*ABS(B26)/B30)</x:f>
        <x:v>0.0004323593239969892</x:v>
      </x:c>
      <x:c r="C35" s="1" t="str">
        <x:v>MPa</x:v>
      </x:c>
      <x:c r="D35" s="1"/>
    </x:row>
    <x:row r="36">
      <x:c r="A36" s="1" t="str">
        <x:v>Área neta en agujero</x:v>
      </x:c>
      <x:c r="B36" s="4" t="str">
        <x:f>IF(OR(B7="",B8="",B9=""),"",(B7-B9)*B8)</x:f>
      </x:c>
      <x:c r="C36" s="1" t="str">
        <x:v>mm²</x:v>
      </x:c>
      <x:c r="D36" s="1"/>
    </x:row>
    <x:row r="37">
      <x:c r="A37" s="1" t="str">
        <x:v>Normal en ligamento</x:v>
      </x:c>
      <x:c r="B37" s="4" t="str">
        <x:f>IF(B36="","",ABS(B25)/B36)</x:f>
      </x:c>
      <x:c r="C37" s="1" t="str">
        <x:v>MPa</x:v>
      </x:c>
      <x:c r="D37" s="1" t="str">
        <x:v>Comprobar sección real del agujero</x:v>
      </x:c>
    </x:row>
    <x:row r="38">
      <x:c r="A38" s="1" t="str">
        <x:v>Aplastamiento en perno</x:v>
      </x:c>
      <x:c r="B38" s="4" t="str">
        <x:f>IF(OR(B8="",B9=""),"",B14/(B8*B9))</x:f>
      </x:c>
      <x:c r="C38" s="1" t="str">
        <x:v>MPa</x:v>
      </x:c>
      <x:c r="D38" s="1"/>
    </x:row>
    <x:row r="39">
      <x:c r="A39" s="1" t="str">
        <x:v>Arrancamiento aprox.</x:v>
      </x:c>
      <x:c r="B39" s="4" t="str">
        <x:f>IF(OR(B8="",B10=""),"",B14/(2*B8*B10))</x:f>
      </x:c>
      <x:c r="C39" s="1" t="str">
        <x:v>MPa</x:v>
      </x:c>
      <x:c r="D39" s="1"/>
    </x:row>
    <x:row r="40">
      <x:c r="A40" s="1"/>
      <x:c r="B40" s="4"/>
      <x:c r="C40" s="1"/>
      <x:c r="D40" s="1"/>
    </x:row>
    <x:row r="41" ht="23" customHeight="1">
      <x:c r="A41" s="6" t="str">
        <x:v>Márgenes: completar admisibles</x:v>
      </x:c>
      <x:c r="B41" s="8"/>
      <x:c r="C41" s="6"/>
      <x:c r="D41" s="6"/>
    </x:row>
    <x:row r="42">
      <x:c r="A42" s="1" t="str">
        <x:v>FS normal combinada</x:v>
      </x:c>
      <x:c r="B42" s="4" t="str">
        <x:f>IF(OR(B11="",B34=""),"",B11/B34)</x:f>
      </x:c>
      <x:c r="C42" s="1" t="str">
        <x:v>—</x:v>
      </x:c>
      <x:c r="D42" s="1"/>
    </x:row>
    <x:row r="43">
      <x:c r="A43" s="1" t="str">
        <x:v>FS cortante</x:v>
      </x:c>
      <x:c r="B43" s="4" t="str">
        <x:f>IF(OR(B12="",B35=""),"",B12/B35)</x:f>
      </x:c>
      <x:c r="C43" s="1" t="str">
        <x:v>—</x:v>
      </x:c>
      <x:c r="D43" s="1"/>
    </x:row>
    <x:row r="44">
      <x:c r="A44" s="1" t="str">
        <x:v>FS aplastamiento</x:v>
      </x:c>
      <x:c r="B44" s="4" t="str">
        <x:f>IF(OR(B13="",B38=""),"",B13/B38)</x:f>
      </x:c>
      <x:c r="C44" s="1" t="str">
        <x:v>—</x:v>
      </x:c>
      <x:c r="D44" s="1"/>
    </x:row>
    <x:row r="45">
      <x:c r="A45" s="1" t="str">
        <x:v>FS ligamento axial</x:v>
      </x:c>
      <x:c r="B45" s="4" t="str">
        <x:f>IF(OR(B11="",B37=""),"",B11/B37)</x:f>
      </x:c>
      <x:c r="C45" s="1" t="str">
        <x:v>—</x:v>
      </x:c>
      <x:c r="D45" s="1"/>
    </x:row>
    <x:row r="46">
      <x:c r="A46" s="1" t="str">
        <x:v>FS arrancamiento</x:v>
      </x:c>
      <x:c r="B46" s="4" t="str">
        <x:f>IF(OR(B12="",B39=""),"",B12/B39)</x:f>
      </x:c>
      <x:c r="C46" s="1" t="str">
        <x:v>—</x:v>
      </x:c>
      <x:c r="D46" s="1" t="str">
        <x:v>Corte de dos ligamentos junto al agujero</x:v>
      </x:c>
    </x:row>
    <x:row r="47">
      <x:c r="A47" s="1" t="str">
        <x:v>Estado de dimensionamiento</x:v>
      </x:c>
      <x:c r="B47" s="18" t="str">
        <x:f>IF(COUNT(B7:B13)&lt;7,"PENDIENTE CAD Y MATERIAL",IF(OR(B7&lt;=B9,B8&lt;=0,B9&lt;=0,B10&lt;=0,B11&lt;=0,B12&lt;=0,B13&lt;=0),"REVISAR DATOS","CALCULADO: REVISAR SECCIONES"))</x:f>
        <x:v>PENDIENTE CAD Y MATERIAL</x:v>
      </x:c>
      <x:c r="C47" s="1"/>
      <x:c r="D47" s="1" t="str">
        <x:v>La placa aligerada requiere identificar varias secciones críticas</x:v>
      </x:c>
    </x:row>
    <x:row r="48">
      <x:c r="A48" s="1"/>
      <x:c r="B48" s="4"/>
      <x:c r="C48" s="1"/>
      <x:c r="D48" s="1"/>
    </x:row>
    <x:row r="49">
      <x:c r="A49" s="1"/>
      <x:c r="B49" s="4"/>
      <x:c r="C49" s="1"/>
      <x:c r="D49" s="1"/>
    </x:row>
    <x:row r="50">
      <x:c r="A50" s="1"/>
      <x:c r="B50" s="4"/>
      <x:c r="C50" s="1"/>
      <x:c r="D50" s="1"/>
    </x:row>
    <x:row r="51">
      <x:c r="A51" s="1"/>
      <x:c r="B51" s="4"/>
      <x:c r="C51" s="1"/>
      <x:c r="D51" s="1"/>
    </x:row>
    <x:row r="52">
      <x:c r="A52" s="1"/>
      <x:c r="B52" s="4"/>
      <x:c r="C52" s="1"/>
      <x:c r="D52" s="1"/>
    </x:row>
    <x:row r="53">
      <x:c r="A53" s="1"/>
      <x:c r="B53" s="4"/>
      <x:c r="C53" s="1"/>
      <x:c r="D53" s="1"/>
    </x:row>
    <x:row r="54">
      <x:c r="A54" s="1"/>
      <x:c r="B54" s="4"/>
      <x:c r="C54" s="1"/>
      <x:c r="D5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16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Eslabón CDP: tramo D–P</x:v>
      </x:c>
      <x:c r="B2" s="2"/>
      <x:c r="C2" s="2"/>
      <x:c r="D2" s="2"/>
    </x:row>
    <x:row r="3">
      <x:c r="A3" s="3" t="str">
        <x:v>Corte ideal sobre D→P; para el ejemplo, P queda de un lado y C y G de CDP del otro.</x:v>
      </x:c>
      <x:c r="B3" s="3"/>
      <x:c r="C3" s="3"/>
      <x:c r="D3" s="3"/>
    </x:row>
    <x:row r="4">
      <x:c r="A4" s="1"/>
      <x:c r="B4" s="1"/>
      <x:c r="C4" s="1"/>
      <x:c r="D4" s="1"/>
    </x:row>
    <x:row r="5" ht="23" customHeight="1">
      <x:c r="A5" s="6" t="str">
        <x:v>Sección y material</x:v>
      </x:c>
      <x:c r="B5" s="8"/>
      <x:c r="C5" s="6"/>
      <x:c r="D5" s="6"/>
    </x:row>
    <x:row r="6">
      <x:c r="A6" s="1" t="str">
        <x:v>Posición del corte</x:v>
      </x:c>
      <x:c r="B6" s="16" t="n">
        <x:v>0.6</x:v>
      </x:c>
      <x:c r="C6" s="1" t="str">
        <x:v>fracción</x:v>
      </x:c>
      <x:c r="D6" s="1" t="str">
        <x:v>Medida desde el primer nudo hacia el segundo</x:v>
      </x:c>
    </x:row>
    <x:row r="7">
      <x:c r="A7" s="1" t="str">
        <x:v>Ancho local w</x:v>
      </x:c>
      <x:c r="B7" s="16" t="n">
        <x:v>20</x:v>
      </x:c>
      <x:c r="C7" s="1" t="str">
        <x:v>mm</x:v>
      </x:c>
      <x:c r="D7" s="1" t="str">
        <x:v>Supuesto: altura de viga en el plano; sustituir por el CAD</x:v>
      </x:c>
    </x:row>
    <x:row r="8">
      <x:c r="A8" s="1" t="str">
        <x:v>Espesor local t</x:v>
      </x:c>
      <x:c r="B8" s="16" t="n">
        <x:v>5</x:v>
      </x:c>
      <x:c r="C8" s="1" t="str">
        <x:v>mm</x:v>
      </x:c>
      <x:c r="D8" s="1" t="str">
        <x:v>Supuesto: espesor fuera del plano; sustituir por el CAD</x:v>
      </x:c>
    </x:row>
    <x:row r="9">
      <x:c r="A9" s="1" t="str">
        <x:v>Diámetro de agujero d</x:v>
      </x:c>
      <x:c r="B9" s="16"/>
      <x:c r="C9" s="1" t="str">
        <x:v>mm</x:v>
      </x:c>
      <x:c r="D9" s="1" t="str">
        <x:v>Para sección neta y aplastamiento</x:v>
      </x:c>
    </x:row>
    <x:row r="10">
      <x:c r="A10" s="1" t="str">
        <x:v>Ligamento hasta borde e</x:v>
      </x:c>
      <x:c r="B10" s="16"/>
      <x:c r="C10" s="1" t="str">
        <x:v>mm</x:v>
      </x:c>
      <x:c r="D10" s="1" t="str">
        <x:v>Distancia libre desde el borde del agujero</x:v>
      </x:c>
    </x:row>
    <x:row r="11">
      <x:c r="A11" s="1" t="str">
        <x:v>Tensión normal admisible</x:v>
      </x:c>
      <x:c r="B11" s="16"/>
      <x:c r="C11" s="1" t="str">
        <x:v>MPa</x:v>
      </x:c>
      <x:c r="D11" s="1" t="str">
        <x:v>Según pieza impresa y orientación real</x:v>
      </x:c>
    </x:row>
    <x:row r="12">
      <x:c r="A12" s="1" t="str">
        <x:v>Tensión cortante admisible</x:v>
      </x:c>
      <x:c r="B12" s="16"/>
      <x:c r="C12" s="1" t="str">
        <x:v>MPa</x:v>
      </x:c>
      <x:c r="D12" s="1" t="str">
        <x:v>Según pieza impresa y orientación real</x:v>
      </x:c>
    </x:row>
    <x:row r="13">
      <x:c r="A13" s="1" t="str">
        <x:v>Aplastamiento admisible</x:v>
      </x:c>
      <x:c r="B13" s="16"/>
      <x:c r="C13" s="1" t="str">
        <x:v>MPa</x:v>
      </x:c>
      <x:c r="D13" s="1" t="str">
        <x:v>Según material y montaje</x:v>
      </x:c>
    </x:row>
    <x:row r="14">
      <x:c r="A14" s="1" t="str">
        <x:v>Fuerza de perno a comprobar</x:v>
      </x:c>
      <x:c r="B14" s="4" t="n">
        <x:f>MAX(Fuerzas!B55,SQRT(Fuerzas!B56^2+Fuerzas!B57^2),SQRT(Fuerzas!B26^2+Fuerzas!B27^2))</x:f>
        <x:v>14.380367491651958</x:v>
      </x:c>
      <x:c r="C14" s="1" t="str">
        <x:v>N</x:v>
      </x:c>
      <x:c r="D14" s="1" t="str">
        <x:v>Carga más alta entre los pernos considerados</x:v>
      </x:c>
    </x:row>
    <x:row r="15">
      <x:c r="A15" s="1"/>
      <x:c r="B15" s="4"/>
      <x:c r="C15" s="1"/>
      <x:c r="D15" s="1"/>
    </x:row>
    <x:row r="16" ht="23" customHeight="1">
      <x:c r="A16" s="6" t="str">
        <x:v>Esfuerzos internos de la sección</x:v>
      </x:c>
      <x:c r="B16" s="8"/>
      <x:c r="C16" s="6"/>
      <x:c r="D16" s="6"/>
    </x:row>
    <x:row r="17">
      <x:c r="A17" s="1" t="str">
        <x:v>x del corte</x:v>
      </x:c>
      <x:c r="B17" s="4" t="n">
        <x:f>Fuerzas!B8+B6*(Fuerzas!B10-Fuerzas!B8)</x:f>
        <x:v>54.93955462927012</x:v>
      </x:c>
      <x:c r="C17" s="1" t="str">
        <x:v>mm</x:v>
      </x:c>
      <x:c r="D17" s="1"/>
    </x:row>
    <x:row r="18">
      <x:c r="A18" s="1" t="str">
        <x:v>y del corte</x:v>
      </x:c>
      <x:c r="B18" s="4" t="n">
        <x:f>Fuerzas!C8+B6*(Fuerzas!C10-Fuerzas!C8)</x:f>
        <x:v>-37.65351333795672</x:v>
      </x:c>
      <x:c r="C18" s="1" t="str">
        <x:v>mm</x:v>
      </x:c>
      <x:c r="D18" s="1"/>
    </x:row>
    <x:row r="19">
      <x:c r="A19" s="1" t="str">
        <x:v>Fuerzas del lado aislado: Fx</x:v>
      </x:c>
      <x:c r="B19" s="4" t="n">
        <x:f>Fuerzas!B26</x:f>
        <x:v>0</x:v>
      </x:c>
      <x:c r="C19" s="1" t="str">
        <x:v>N</x:v>
      </x:c>
      <x:c r="D19" s="1"/>
    </x:row>
    <x:row r="20">
      <x:c r="A20" s="1" t="str">
        <x:v>Fuerzas del lado aislado: Fy</x:v>
      </x:c>
      <x:c r="B20" s="4" t="n">
        <x:f>Fuerzas!B27-IF(B6&lt;Datos!B26,Fuerzas!B29,0)</x:f>
        <x:v>3.8357099999999997</x:v>
      </x:c>
      <x:c r="C20" s="1" t="str">
        <x:v>N</x:v>
      </x:c>
      <x:c r="D20" s="1"/>
    </x:row>
    <x:row r="21">
      <x:c r="A21" s="1" t="str">
        <x:v>Dirección del tramo ux</x:v>
      </x:c>
      <x:c r="B21" s="4" t="n">
        <x:f>(Fuerzas!B10-Fuerzas!B8)/Datos!B12</x:f>
        <x:v>-0.9873039380052264</x:v>
      </x:c>
      <x:c r="C21" s="1" t="str">
        <x:v>—</x:v>
      </x:c>
      <x:c r="D21" s="1"/>
    </x:row>
    <x:row r="22">
      <x:c r="A22" s="1" t="str">
        <x:v>Dirección del tramo uy</x:v>
      </x:c>
      <x:c r="B22" s="4" t="n">
        <x:f>(Fuerzas!C10-Fuerzas!C8)/Datos!B12</x:f>
        <x:v>-0.1588424817212675</x:v>
      </x:c>
      <x:c r="C22" s="1" t="str">
        <x:v>—</x:v>
      </x:c>
      <x:c r="D22" s="1"/>
    </x:row>
    <x:row r="23">
      <x:c r="A23" s="1" t="str">
        <x:v>Normal al tramo nx</x:v>
      </x:c>
      <x:c r="B23" s="4" t="n">
        <x:f>-B22</x:f>
        <x:v>0.1588424817212675</x:v>
      </x:c>
      <x:c r="C23" s="1" t="str">
        <x:v>—</x:v>
      </x:c>
      <x:c r="D23" s="1"/>
    </x:row>
    <x:row r="24">
      <x:c r="A24" s="1" t="str">
        <x:v>Normal al tramo ny</x:v>
      </x:c>
      <x:c r="B24" s="4" t="n">
        <x:f>B21</x:f>
        <x:v>-0.9873039380052264</x:v>
      </x:c>
      <x:c r="C24" s="1" t="str">
        <x:v>—</x:v>
      </x:c>
      <x:c r="D24" s="1"/>
    </x:row>
    <x:row r="25">
      <x:c r="A25" s="1" t="str">
        <x:v>Axial firmado N</x:v>
      </x:c>
      <x:c r="B25" s="18" t="n">
        <x:f>B19*B21+B20*B22</x:f>
        <x:v>-0.6092736955630829</x:v>
      </x:c>
      <x:c r="C25" s="1" t="str">
        <x:v>N</x:v>
      </x:c>
      <x:c r="D25" s="1" t="str">
        <x:v>Positivo si la carga aislada apunta hacia el extremo</x:v>
      </x:c>
    </x:row>
    <x:row r="26">
      <x:c r="A26" s="1" t="str">
        <x:v>Cortante firmado V</x:v>
      </x:c>
      <x:c r="B26" s="18" t="n">
        <x:f>B19*B23+B20*B24</x:f>
        <x:v>-3.7870115880460267</x:v>
      </x:c>
      <x:c r="C26" s="1" t="str">
        <x:v>N</x:v>
      </x:c>
      <x:c r="D26" s="1"/>
    </x:row>
    <x:row r="27">
      <x:c r="A27" s="1" t="str">
        <x:v>Momento en el corte</x:v>
      </x:c>
      <x:c r="B27" s="18" t="n">
        <x:f>(Fuerzas!B10-B17)*Fuerzas!B27-(Fuerzas!C10-B18)*Fuerzas!B26-IF(B6&lt;Datos!B26,(Fuerzas!B13-B17)*Fuerzas!B29,0)</x:f>
        <x:v>-212.07264893057751</x:v>
      </x:c>
      <x:c r="C27" s="1" t="str">
        <x:v>N·mm</x:v>
      </x:c>
      <x:c r="D27" s="1" t="str">
        <x:v>Se muestra con signo; usar valor absoluto para tensiones</x:v>
      </x:c>
    </x:row>
    <x:row r="28">
      <x:c r="A28" s="1"/>
      <x:c r="B28" s="4"/>
      <x:c r="C28" s="1"/>
      <x:c r="D28" s="1"/>
    </x:row>
    <x:row r="29" ht="23" customHeight="1">
      <x:c r="A29" s="6" t="str">
        <x:v>Verificación nominal de sección rectangular</x:v>
      </x:c>
      <x:c r="B29" s="8"/>
      <x:c r="C29" s="6"/>
      <x:c r="D29" s="6"/>
    </x:row>
    <x:row r="30">
      <x:c r="A30" s="1" t="str">
        <x:v>Área bruta A</x:v>
      </x:c>
      <x:c r="B30" s="4" t="n">
        <x:f>IF(OR(B7="",B8=""),"",B7*B8)</x:f>
        <x:v>100</x:v>
      </x:c>
      <x:c r="C30" s="1" t="str">
        <x:v>mm²</x:v>
      </x:c>
      <x:c r="D30" s="1"/>
    </x:row>
    <x:row r="31">
      <x:c r="A31" s="1" t="str">
        <x:v>Inercia en el plano Iz</x:v>
      </x:c>
      <x:c r="B31" s="4" t="n">
        <x:f>IF(OR(B7="",B8=""),"",B8*B7^3/12)</x:f>
        <x:v>3333.3333333333335</x:v>
      </x:c>
      <x:c r="C31" s="1" t="str">
        <x:v>mm⁴</x:v>
      </x:c>
      <x:c r="D31" s="1" t="str">
        <x:v>Flexión en el plano x-y</x:v>
      </x:c>
    </x:row>
    <x:row r="32">
      <x:c r="A32" s="1" t="str">
        <x:v>Tensión axial |N|/A</x:v>
      </x:c>
      <x:c r="B32" s="4" t="n">
        <x:f>IF(B30="","",ABS(B25)/B30)</x:f>
        <x:v>0.0060927369556308284</x:v>
      </x:c>
      <x:c r="C32" s="1" t="str">
        <x:v>MPa</x:v>
      </x:c>
      <x:c r="D32" s="1"/>
    </x:row>
    <x:row r="33">
      <x:c r="A33" s="1" t="str">
        <x:v>Tensión de flexión |M|·w/(2Iz)</x:v>
      </x:c>
      <x:c r="B33" s="4" t="n">
        <x:f>IF(B31="","",ABS(B27)*B7/(2*B31))</x:f>
        <x:v>0.6362179467917325</x:v>
      </x:c>
      <x:c r="C33" s="1" t="str">
        <x:v>MPa</x:v>
      </x:c>
      <x:c r="D33" s="1"/>
    </x:row>
    <x:row r="34">
      <x:c r="A34" s="1" t="str">
        <x:v>Normal combinada conservadora</x:v>
      </x:c>
      <x:c r="B34" s="18" t="n">
        <x:f>IF(B32="","",B32+B33)</x:f>
        <x:v>0.6423106837473633</x:v>
      </x:c>
      <x:c r="C34" s="1" t="str">
        <x:v>MPa</x:v>
      </x:c>
      <x:c r="D34" s="1"/>
    </x:row>
    <x:row r="35">
      <x:c r="A35" s="1" t="str">
        <x:v>Cortante rectangular aprox.</x:v>
      </x:c>
      <x:c r="B35" s="18" t="n">
        <x:f>IF(B30="","",1.5*ABS(B26)/B30)</x:f>
        <x:v>0.0568051738206904</x:v>
      </x:c>
      <x:c r="C35" s="1" t="str">
        <x:v>MPa</x:v>
      </x:c>
      <x:c r="D35" s="1"/>
    </x:row>
    <x:row r="36">
      <x:c r="A36" s="1" t="str">
        <x:v>Área neta en agujero</x:v>
      </x:c>
      <x:c r="B36" s="4" t="str">
        <x:f>IF(OR(B7="",B8="",B9=""),"",(B7-B9)*B8)</x:f>
      </x:c>
      <x:c r="C36" s="1" t="str">
        <x:v>mm²</x:v>
      </x:c>
      <x:c r="D36" s="1"/>
    </x:row>
    <x:row r="37">
      <x:c r="A37" s="1" t="str">
        <x:v>Normal en ligamento</x:v>
      </x:c>
      <x:c r="B37" s="4" t="str">
        <x:f>IF(B36="","",ABS(B25)/B36)</x:f>
      </x:c>
      <x:c r="C37" s="1" t="str">
        <x:v>MPa</x:v>
      </x:c>
      <x:c r="D37" s="1" t="str">
        <x:v>Comprobar sección real del agujero</x:v>
      </x:c>
    </x:row>
    <x:row r="38">
      <x:c r="A38" s="1" t="str">
        <x:v>Aplastamiento en perno</x:v>
      </x:c>
      <x:c r="B38" s="4" t="str">
        <x:f>IF(OR(B8="",B9=""),"",B14/(B8*B9))</x:f>
      </x:c>
      <x:c r="C38" s="1" t="str">
        <x:v>MPa</x:v>
      </x:c>
      <x:c r="D38" s="1"/>
    </x:row>
    <x:row r="39">
      <x:c r="A39" s="1" t="str">
        <x:v>Arrancamiento aprox.</x:v>
      </x:c>
      <x:c r="B39" s="4" t="str">
        <x:f>IF(OR(B8="",B10=""),"",B14/(2*B8*B10))</x:f>
      </x:c>
      <x:c r="C39" s="1" t="str">
        <x:v>MPa</x:v>
      </x:c>
      <x:c r="D39" s="1"/>
    </x:row>
    <x:row r="40">
      <x:c r="A40" s="1"/>
      <x:c r="B40" s="4"/>
      <x:c r="C40" s="1"/>
      <x:c r="D40" s="1"/>
    </x:row>
    <x:row r="41" ht="23" customHeight="1">
      <x:c r="A41" s="6" t="str">
        <x:v>Márgenes: completar admisibles</x:v>
      </x:c>
      <x:c r="B41" s="8"/>
      <x:c r="C41" s="6"/>
      <x:c r="D41" s="6"/>
    </x:row>
    <x:row r="42">
      <x:c r="A42" s="1" t="str">
        <x:v>FS normal combinada</x:v>
      </x:c>
      <x:c r="B42" s="4" t="str">
        <x:f>IF(OR(B11="",B34=""),"",B11/B34)</x:f>
      </x:c>
      <x:c r="C42" s="1" t="str">
        <x:v>—</x:v>
      </x:c>
      <x:c r="D42" s="1"/>
    </x:row>
    <x:row r="43">
      <x:c r="A43" s="1" t="str">
        <x:v>FS cortante</x:v>
      </x:c>
      <x:c r="B43" s="4" t="str">
        <x:f>IF(OR(B12="",B35=""),"",B12/B35)</x:f>
      </x:c>
      <x:c r="C43" s="1" t="str">
        <x:v>—</x:v>
      </x:c>
      <x:c r="D43" s="1"/>
    </x:row>
    <x:row r="44">
      <x:c r="A44" s="1" t="str">
        <x:v>FS aplastamiento</x:v>
      </x:c>
      <x:c r="B44" s="4" t="str">
        <x:f>IF(OR(B13="",B38=""),"",B13/B38)</x:f>
      </x:c>
      <x:c r="C44" s="1" t="str">
        <x:v>—</x:v>
      </x:c>
      <x:c r="D44" s="1"/>
    </x:row>
    <x:row r="45">
      <x:c r="A45" s="1" t="str">
        <x:v>FS ligamento axial</x:v>
      </x:c>
      <x:c r="B45" s="4" t="str">
        <x:f>IF(OR(B11="",B37=""),"",B11/B37)</x:f>
      </x:c>
      <x:c r="C45" s="1" t="str">
        <x:v>—</x:v>
      </x:c>
      <x:c r="D45" s="1"/>
    </x:row>
    <x:row r="46">
      <x:c r="A46" s="1" t="str">
        <x:v>FS arrancamiento</x:v>
      </x:c>
      <x:c r="B46" s="4" t="str">
        <x:f>IF(OR(B12="",B39=""),"",B12/B39)</x:f>
      </x:c>
      <x:c r="C46" s="1" t="str">
        <x:v>—</x:v>
      </x:c>
      <x:c r="D46" s="1" t="str">
        <x:v>Corte de dos ligamentos junto al agujero</x:v>
      </x:c>
    </x:row>
    <x:row r="47">
      <x:c r="A47" s="1" t="str">
        <x:v>Estado de dimensionamiento</x:v>
      </x:c>
      <x:c r="B47" s="18" t="str">
        <x:f>IF(COUNT(B7:B13)&lt;7,"PENDIENTE CAD Y MATERIAL",IF(OR(B7&lt;=B9,B8&lt;=0,B9&lt;=0,B10&lt;=0,B11&lt;=0,B12&lt;=0,B13&lt;=0),"REVISAR DATOS","CALCULADO: REVISAR SECCIONES"))</x:f>
        <x:v>PENDIENTE CAD Y MATERIAL</x:v>
      </x:c>
      <x:c r="C47" s="1"/>
      <x:c r="D47" s="1" t="str">
        <x:v>La placa aligerada requiere identificar varias secciones críticas</x:v>
      </x:c>
    </x:row>
    <x:row r="48">
      <x:c r="A48" s="1"/>
      <x:c r="B48" s="4"/>
      <x:c r="C48" s="1"/>
      <x:c r="D48" s="1"/>
    </x:row>
    <x:row r="49" ht="23" customHeight="1">
      <x:c r="A49" s="6" t="str">
        <x:v>Tramo D–C: carga en el brazo corto</x:v>
      </x:c>
      <x:c r="B49" s="8"/>
      <x:c r="C49" s="6"/>
      <x:c r="D49" s="6"/>
    </x:row>
    <x:row r="50">
      <x:c r="A50" s="1" t="str">
        <x:v>Corte desde D hacia C</x:v>
      </x:c>
      <x:c r="B50" s="16" t="n">
        <x:v>0.5</x:v>
      </x:c>
      <x:c r="C50" s="1" t="str">
        <x:v>fracción</x:v>
      </x:c>
      <x:c r="D50" s="1" t="str">
        <x:v>Modelo de viga local del brazo D–C</x:v>
      </x:c>
    </x:row>
    <x:row r="51">
      <x:c r="A51" s="1" t="str">
        <x:v>Axial en D–C</x:v>
      </x:c>
      <x:c r="B51" s="4" t="n">
        <x:f>-Fuerzas!B53*(Fuerzas!B9-Fuerzas!B8)/Datos!B11-Fuerzas!B54*(Fuerzas!C9-Fuerzas!C8)/Datos!B11</x:f>
        <x:v>-6.4148408240137815</x:v>
      </x:c>
      <x:c r="C51" s="1" t="str">
        <x:v>N</x:v>
      </x:c>
      <x:c r="D51" s="1"/>
    </x:row>
    <x:row r="52">
      <x:c r="A52" s="1" t="str">
        <x:v>Cortante en D–C</x:v>
      </x:c>
      <x:c r="B52" s="4" t="n">
        <x:f>Fuerzas!B53*(Fuerzas!C9-Fuerzas!C8)/Datos!B11-Fuerzas!B54*(Fuerzas!B9-Fuerzas!B8)/Datos!B11</x:f>
        <x:v>10.232663506610352</x:v>
      </x:c>
      <x:c r="C52" s="1" t="str">
        <x:v>N</x:v>
      </x:c>
      <x:c r="D52" s="1"/>
    </x:row>
    <x:row r="53">
      <x:c r="A53" s="1" t="str">
        <x:v>Momento en D–C</x:v>
      </x:c>
      <x:c r="B53" s="4" t="n">
        <x:f>-(1-B50)*((Fuerzas!B9-Fuerzas!B8)*Fuerzas!B54-(Fuerzas!C9-Fuerzas!C8)*Fuerzas!B53)</x:f>
        <x:v>260.932919418564</x:v>
      </x:c>
      <x:c r="C53" s="1" t="str">
        <x:v>N·mm</x:v>
      </x:c>
      <x:c r="D53" s="1" t="str">
        <x:v>Analizar también la zona de unión triangular</x:v>
      </x:c>
    </x:row>
    <x:row r="54">
      <x:c r="A54" s="1"/>
      <x:c r="B54" s="4"/>
      <x:c r="C54" s="1"/>
      <x:c r="D54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16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Fuerzas y momentos de una pata</x:v>
      </x:c>
      <x:c r="B2" s="2"/>
      <x:c r="C2" s="2"/>
      <x:c r="D2" s="2"/>
    </x:row>
    <x:row r="3">
      <x:c r="A3" s="3" t="str">
        <x:v>x hacia atrás; y hacia arriba. C y D son fuerzas de CDP sobre BC y AD, respectivamente.</x:v>
      </x:c>
      <x:c r="B3" s="3"/>
      <x:c r="C3" s="3"/>
      <x:c r="D3" s="3"/>
    </x:row>
    <x:row r="4" ht="23" customHeight="1">
      <x:c r="A4" s="6" t="str">
        <x:v>Posiciones de nudos y centros de masa</x:v>
      </x:c>
      <x:c r="B4" s="6"/>
      <x:c r="C4" s="6"/>
      <x:c r="D4" s="6"/>
    </x:row>
    <x:row r="5">
      <x:c r="A5" s="1"/>
      <x:c r="B5" s="4" t="str">
        <x:v>x (mm)</x:v>
      </x:c>
      <x:c r="C5" s="1" t="str">
        <x:v>y (mm)</x:v>
      </x:c>
      <x:c r="D5" s="1"/>
    </x:row>
    <x:row r="6">
      <x:c r="A6" s="1" t="str">
        <x:v>A</x:v>
      </x:c>
      <x:c r="B6" s="4" t="n">
        <x:f>0</x:f>
        <x:v>0</x:v>
      </x:c>
      <x:c r="C6" s="4" t="n">
        <x:f>0</x:f>
        <x:v>0</x:v>
      </x:c>
      <x:c r="D6" s="1"/>
    </x:row>
    <x:row r="7">
      <x:c r="A7" s="1" t="str">
        <x:v>B</x:v>
      </x:c>
      <x:c r="B7" s="4" t="n">
        <x:f>Datos!B7*COS(Datos!B8*PI()/180)</x:f>
        <x:v>70.71067811865476</x:v>
      </x:c>
      <x:c r="C7" s="4" t="n">
        <x:f>Datos!B7*SIN(Datos!B8*PI()/180)</x:f>
        <x:v>70.71067811865474</x:v>
      </x:c>
      <x:c r="D7" s="1"/>
    </x:row>
    <x:row r="8">
      <x:c r="A8" s="1" t="str">
        <x:v>D</x:v>
      </x:c>
      <x:c r="B8" s="4" t="n">
        <x:f>Datos!B9*COS(Datos!B6*PI()/180)</x:f>
        <x:v>137.87308542170913</x:v>
      </x:c>
      <x:c r="C8" s="4" t="n">
        <x:f>-Datos!B9*SIN(Datos!B6*PI()/180)</x:f>
        <x:v>-24.310744873370247</x:v>
      </x:c>
      <x:c r="D8" s="1"/>
    </x:row>
    <x:row r="9">
      <x:c r="A9" s="1" t="str">
        <x:v>C</x:v>
      </x:c>
      <x:c r="B9" s="4" t="n">
        <x:f>B7+B18/B17*B15-Datos!B14*B19/B17*B16</x:f>
        <x:v>184.04208676793078</x:v>
      </x:c>
      <x:c r="C9" s="4" t="n">
        <x:f>C7+B18/B17*B16+Datos!B14*B19/B17*B15</x:f>
        <x:v>-2.644565821848907</x:v>
      </x:c>
      <x:c r="D9" s="1"/>
    </x:row>
    <x:row r="10">
      <x:c r="A10" s="1" t="str">
        <x:v>P</x:v>
      </x:c>
      <x:c r="B10" s="4" t="n">
        <x:f>B8+Datos!B12/Datos!B11*((B9-B8)*COS(Datos!B13*PI()/180)-(C9-C8)*SIN(Datos!B13*PI()/180))</x:f>
        <x:v>-0.34946589902256164</x:v>
      </x:c>
      <x:c r="C10" s="4" t="n">
        <x:f>C8+Datos!B12/Datos!B11*((B9-B8)*SIN(Datos!B13*PI()/180)+(C9-C8)*COS(Datos!B13*PI()/180))</x:f>
        <x:v>-46.5486923143477</x:v>
      </x:c>
      <x:c r="D10" s="1"/>
    </x:row>
    <x:row r="11">
      <x:c r="A11" s="1" t="str">
        <x:v>G de AD</x:v>
      </x:c>
      <x:c r="B11" s="4" t="n">
        <x:f>B6+Datos!B24*(B8-B6)</x:f>
        <x:v>59.00968056049151</x:v>
      </x:c>
      <x:c r="C11" s="4" t="n">
        <x:f>C6+Datos!B24*(C8-C6)</x:f>
        <x:v>-10.404998805802466</x:v>
      </x:c>
      <x:c r="D11" s="1"/>
    </x:row>
    <x:row r="12">
      <x:c r="A12" s="1" t="str">
        <x:v>G de BC</x:v>
      </x:c>
      <x:c r="B12" s="4" t="n">
        <x:f>B7+Datos!B25*(B9-B7)</x:f>
        <x:v>127.37638244329277</x:v>
      </x:c>
      <x:c r="C12" s="4" t="n">
        <x:f>C7+Datos!B25*(C9-C7)</x:f>
        <x:v>34.03305614840292</x:v>
      </x:c>
      <x:c r="D12" s="1"/>
    </x:row>
    <x:row r="13">
      <x:c r="A13" s="1" t="str">
        <x:v>G de CDP</x:v>
      </x:c>
      <x:c r="B13" s="4" t="n">
        <x:f>B8+Datos!B26*(B10-B8)</x:f>
        <x:v>94.402093031339</x:v>
      </x:c>
      <x:c r="C13" s="4" t="n">
        <x:f>C8+Datos!B26*(C10-C8)</x:f>
        <x:v>-31.304579343557656</x:v>
      </x:c>
      <x:c r="D13" s="1"/>
    </x:row>
    <x:row r="14" ht="23" customHeight="1">
      <x:c r="A14" s="6" t="str">
        <x:v>Cierre geométrico por intersección de circunferencias</x:v>
      </x:c>
      <x:c r="B14" s="8"/>
      <x:c r="C14" s="6"/>
      <x:c r="D14" s="6"/>
    </x:row>
    <x:row r="15">
      <x:c r="A15" s="1" t="str">
        <x:v>xD − xB</x:v>
      </x:c>
      <x:c r="B15" s="4" t="n">
        <x:f>B8-B7</x:f>
        <x:v>67.16240730305438</x:v>
      </x:c>
      <x:c r="C15" s="1" t="str">
        <x:v>mm</x:v>
      </x:c>
      <x:c r="D15" s="1"/>
    </x:row>
    <x:row r="16">
      <x:c r="A16" s="1" t="str">
        <x:v>yD − yB</x:v>
      </x:c>
      <x:c r="B16" s="4" t="n">
        <x:f>C8-C7</x:f>
        <x:v>-95.02142299202498</x:v>
      </x:c>
      <x:c r="C16" s="1" t="str">
        <x:v>mm</x:v>
      </x:c>
      <x:c r="D16" s="1"/>
    </x:row>
    <x:row r="17">
      <x:c r="A17" s="1" t="str">
        <x:v>BD</x:v>
      </x:c>
      <x:c r="B17" s="4" t="n">
        <x:f>SQRT(B15^2+B16^2)</x:f>
        <x:v>116.36090315123334</x:v>
      </x:c>
      <x:c r="C17" s="1" t="str">
        <x:v>mm</x:v>
      </x:c>
      <x:c r="D17" s="1"/>
    </x:row>
    <x:row r="18">
      <x:c r="A18" s="1" t="str">
        <x:v>Distancia a sobre BD</x:v>
      </x:c>
      <x:c r="B18" s="4" t="n">
        <x:f>(Datos!B10^2-Datos!B11^2+B17^2)/(2*B17)</x:f>
        <x:v>125.3164035013834</x:v>
      </x:c>
      <x:c r="C18" s="1" t="str">
        <x:v>mm</x:v>
      </x:c>
      <x:c r="D18" s="1"/>
    </x:row>
    <x:row r="19">
      <x:c r="A19" s="1" t="str">
        <x:v>Altura h</x:v>
      </x:c>
      <x:c r="B19" s="4" t="n">
        <x:f>SQRT(Datos!B10^2-B18^2)</x:f>
        <x:v>50.20755932604632</x:v>
      </x:c>
      <x:c r="C19" s="1" t="str">
        <x:v>mm</x:v>
      </x:c>
      <x:c r="D19" s="1"/>
    </x:row>
    <x:row r="20">
      <x:c r="A20" s="1" t="str">
        <x:v>Cierre BC</x:v>
      </x:c>
      <x:c r="B20" s="4" t="n">
        <x:f>SQRT((B9-B7)^2+(C9-C7)^2)-Datos!B10</x:f>
        <x:v>-2.842170943040401e-14</x:v>
      </x:c>
      <x:c r="C20" s="1" t="str">
        <x:v>mm</x:v>
      </x:c>
      <x:c r="D20" s="1" t="str">
        <x:v>Debe valer aproximadamente cero</x:v>
      </x:c>
    </x:row>
    <x:row r="21">
      <x:c r="A21" s="1" t="str">
        <x:v>Cierre CD</x:v>
      </x:c>
      <x:c r="B21" s="4" t="n">
        <x:f>SQRT((B9-B8)^2+(C9-C8)^2)-Datos!B11</x:f>
        <x:v>-1.4210854715202004e-14</x:v>
      </x:c>
      <x:c r="C21" s="1" t="str">
        <x:v>mm</x:v>
      </x:c>
      <x:c r="D21" s="1" t="str">
        <x:v>Debe valer aproximadamente cero</x:v>
      </x:c>
    </x:row>
    <x:row r="22">
      <x:c r="A22" s="1"/>
      <x:c r="B22" s="4"/>
      <x:c r="C22" s="1"/>
      <x:c r="D22" s="1"/>
    </x:row>
    <x:row r="23" ht="23" customHeight="1">
      <x:c r="A23" s="6" t="str">
        <x:v>Carga de una pata</x:v>
      </x:c>
      <x:c r="B23" s="8"/>
      <x:c r="C23" s="6"/>
      <x:c r="D23" s="6"/>
    </x:row>
    <x:row r="24">
      <x:c r="A24" s="1" t="str">
        <x:v>Masa total</x:v>
      </x:c>
      <x:c r="B24" s="4" t="n">
        <x:f>Datos!B17+Datos!B22*SUM(Datos!B18:B21)</x:f>
        <x:v>1.032</x:v>
      </x:c>
      <x:c r="C24" s="1" t="str">
        <x:v>kg</x:v>
      </x:c>
      <x:c r="D24" s="1"/>
    </x:row>
    <x:row r="25">
      <x:c r="A25" s="1" t="str">
        <x:v>Normal N en P</x:v>
      </x:c>
      <x:c r="B25" s="18" t="n">
        <x:f>B24*Datos!B23/Datos!B22*Datos!B28</x:f>
        <x:v>5.06196</x:v>
      </x:c>
      <x:c r="C25" s="1" t="str">
        <x:v>N</x:v>
      </x:c>
      <x:c r="D25" s="1"/>
    </x:row>
    <x:row r="26">
      <x:c r="A26" s="1" t="str">
        <x:v>Fuerza horizontal Fx en P</x:v>
      </x:c>
      <x:c r="B26" s="4" t="n">
        <x:f>Datos!B29</x:f>
        <x:v>0</x:v>
      </x:c>
      <x:c r="C26" s="1" t="str">
        <x:v>N</x:v>
      </x:c>
      <x:c r="D26" s="1"/>
    </x:row>
    <x:row r="27">
      <x:c r="A27" s="1" t="str">
        <x:v>Fuerza vertical neta en P</x:v>
      </x:c>
      <x:c r="B27" s="4" t="n">
        <x:f>B25-Datos!B21*Datos!B23</x:f>
        <x:v>3.8357099999999997</x:v>
      </x:c>
      <x:c r="C27" s="1" t="str">
        <x:v>N</x:v>
      </x:c>
      <x:c r="D27" s="1" t="str">
        <x:v>Normal menos peso de rueda y motor</x:v>
      </x:c>
    </x:row>
    <x:row r="28">
      <x:c r="A28" s="1" t="str">
        <x:v>Peso BC</x:v>
      </x:c>
      <x:c r="B28" s="4" t="n">
        <x:f>Datos!B19*Datos!B23</x:f>
        <x:v>0.06867000000000001</x:v>
      </x:c>
      <x:c r="C28" s="1" t="str">
        <x:v>N</x:v>
      </x:c>
      <x:c r="D28" s="1"/>
    </x:row>
    <x:row r="29">
      <x:c r="A29" s="1" t="str">
        <x:v>Peso CDP</x:v>
      </x:c>
      <x:c r="B29" s="4" t="n">
        <x:f>Datos!B20*Datos!B23</x:f>
        <x:v>0.19129500000000002</x:v>
      </x:c>
      <x:c r="C29" s="1" t="str">
        <x:v>N</x:v>
      </x:c>
      <x:c r="D29" s="1"/>
    </x:row>
    <x:row r="30">
      <x:c r="A30" s="1" t="str">
        <x:v>Peso AD</x:v>
      </x:c>
      <x:c r="B30" s="4" t="n">
        <x:f>Datos!B18*Datos!B23</x:f>
        <x:v>0.28449</x:v>
      </x:c>
      <x:c r="C30" s="1" t="str">
        <x:v>N</x:v>
      </x:c>
      <x:c r="D30" s="1"/>
    </x:row>
    <x:row r="31">
      <x:c r="A31" s="1"/>
      <x:c r="B31" s="4"/>
      <x:c r="C31" s="1"/>
      <x:c r="D31" s="1"/>
    </x:row>
    <x:row r="32" ht="23" customHeight="1">
      <x:c r="A32" s="6" t="str">
        <x:v>Momento de las cargas respecto de D</x:v>
      </x:c>
      <x:c r="B32" s="8"/>
      <x:c r="C32" s="6"/>
      <x:c r="D32" s="6"/>
    </x:row>
    <x:row r="33">
      <x:c r="A33" s="1" t="str">
        <x:v>Brazo x: P − D</x:v>
      </x:c>
      <x:c r="B33" s="4" t="n">
        <x:f>B10-B8</x:f>
        <x:v>-138.2225513207317</x:v>
      </x:c>
      <x:c r="C33" s="1" t="str">
        <x:v>mm</x:v>
      </x:c>
      <x:c r="D33" s="1"/>
    </x:row>
    <x:row r="34">
      <x:c r="A34" s="1" t="str">
        <x:v>Brazo y: P − D</x:v>
      </x:c>
      <x:c r="B34" s="4" t="n">
        <x:f>C10-C8</x:f>
        <x:v>-22.23794744097745</x:v>
      </x:c>
      <x:c r="C34" s="1" t="str">
        <x:v>mm</x:v>
      </x:c>
      <x:c r="D34" s="1"/>
    </x:row>
    <x:row r="35">
      <x:c r="A35" s="1" t="str">
        <x:v>Brazo x: GCDP − D</x:v>
      </x:c>
      <x:c r="B35" s="4" t="n">
        <x:f>B13-B8</x:f>
        <x:v>-43.47099239037013</x:v>
      </x:c>
      <x:c r="C35" s="1" t="str">
        <x:v>mm</x:v>
      </x:c>
      <x:c r="D35" s="1"/>
    </x:row>
    <x:row r="36">
      <x:c r="A36" s="1" t="str">
        <x:v>Suelo: xP·N</x:v>
      </x:c>
      <x:c r="B36" s="4" t="n">
        <x:f>B33*B25</x:f>
        <x:v>-699.6770258834911</x:v>
      </x:c>
      <x:c r="C36" s="1" t="str">
        <x:v>N·mm</x:v>
      </x:c>
      <x:c r="D36" s="1"/>
    </x:row>
    <x:row r="37">
      <x:c r="A37" s="1" t="str">
        <x:v>Rueda+motor: −xP·mP·g</x:v>
      </x:c>
      <x:c r="B37" s="4" t="n">
        <x:f>-B33*Datos!B21*Datos!B23</x:f>
        <x:v>169.49540355704724</x:v>
      </x:c>
      <x:c r="C37" s="1" t="str">
        <x:v>N·mm</x:v>
      </x:c>
      <x:c r="D37" s="1"/>
    </x:row>
    <x:row r="38">
      <x:c r="A38" s="1" t="str">
        <x:v>CDP: −xG·mCDP·g</x:v>
      </x:c>
      <x:c r="B38" s="4" t="n">
        <x:f>-B35*B29</x:f>
        <x:v>8.315783489315855</x:v>
      </x:c>
      <x:c r="C38" s="1" t="str">
        <x:v>N·mm</x:v>
      </x:c>
      <x:c r="D38" s="1"/>
    </x:row>
    <x:row r="39">
      <x:c r="A39" s="1" t="str">
        <x:v>Horizontal: −yP·Fx</x:v>
      </x:c>
      <x:c r="B39" s="4" t="n">
        <x:f>-B34*B26</x:f>
        <x:v>0</x:v>
      </x:c>
      <x:c r="C39" s="1" t="str">
        <x:v>N·mm</x:v>
      </x:c>
      <x:c r="D39" s="1"/>
    </x:row>
    <x:row r="40">
      <x:c r="A40" s="1" t="str">
        <x:v>Suma de momentos externos</x:v>
      </x:c>
      <x:c r="B40" s="18" t="n">
        <x:f>SUM(B36:B39)</x:f>
        <x:v>-521.865838837128</x:v>
      </x:c>
      <x:c r="C40" s="1" t="str">
        <x:v>N·mm</x:v>
      </x:c>
      <x:c r="D40" s="1" t="str">
        <x:v>La fuerza en C debe producir el momento contrario</x:v>
      </x:c>
    </x:row>
    <x:row r="41">
      <x:c r="A41" s="1" t="str">
        <x:v>Magnitud externa</x:v>
      </x:c>
      <x:c r="B41" s="18" t="n">
        <x:f>ABS(B40)/1000</x:f>
        <x:v>0.521865838837128</x:v>
      </x:c>
      <x:c r="C41" s="1" t="str">
        <x:v>N·m</x:v>
      </x:c>
      <x:c r="D41" s="1" t="str">
        <x:v>En el ejemplo histórico ≈ 0,520 N·m</x:v>
      </x:c>
    </x:row>
    <x:row r="42">
      <x:c r="A42" s="1"/>
      <x:c r="B42" s="4"/>
      <x:c r="C42" s="1"/>
      <x:c r="D42" s="1"/>
    </x:row>
    <x:row r="43" ht="23" customHeight="1">
      <x:c r="A43" s="6" t="str">
        <x:v>Equilibrio BC y CDP: dos ecuaciones para Cx, Cy</x:v>
      </x:c>
      <x:c r="B43" s="8"/>
      <x:c r="C43" s="6"/>
      <x:c r="D43" s="6"/>
    </x:row>
    <x:row r="44">
      <x:c r="A44" s="1" t="str">
        <x:v>a = −(yC − yB)</x:v>
      </x:c>
      <x:c r="B44" s="4" t="n">
        <x:f>-(C9-C7)</x:f>
        <x:v>73.35524394050364</x:v>
      </x:c>
      <x:c r="C44" s="1" t="str">
        <x:v>mm</x:v>
      </x:c>
      <x:c r="D44" s="1"/>
    </x:row>
    <x:row r="45">
      <x:c r="A45" s="1" t="str">
        <x:v>b = xC − xB</x:v>
      </x:c>
      <x:c r="B45" s="4" t="n">
        <x:f>B9-B7</x:f>
        <x:v>113.33140864927603</x:v>
      </x:c>
      <x:c r="C45" s="1" t="str">
        <x:v>mm</x:v>
      </x:c>
      <x:c r="D45" s="1"/>
    </x:row>
    <x:row r="46">
      <x:c r="A46" s="1" t="str">
        <x:v>u = mBC·g·(xGBC − xB)</x:v>
      </x:c>
      <x:c r="B46" s="4" t="n">
        <x:f>B28*(B12-B7)</x:f>
        <x:v>3.891233915972893</x:v>
      </x:c>
      <x:c r="C46" s="1" t="str">
        <x:v>N·mm</x:v>
      </x:c>
      <x:c r="D46" s="1"/>
    </x:row>
    <x:row r="47">
      <x:c r="A47" s="1" t="str">
        <x:v>c = yC − yD</x:v>
      </x:c>
      <x:c r="B47" s="4" t="n">
        <x:f>C9-C8</x:f>
        <x:v>21.66617905152134</x:v>
      </x:c>
      <x:c r="C47" s="1" t="str">
        <x:v>mm</x:v>
      </x:c>
      <x:c r="D47" s="1"/>
    </x:row>
    <x:row r="48">
      <x:c r="A48" s="1" t="str">
        <x:v>d = −(xC − xD)</x:v>
      </x:c>
      <x:c r="B48" s="4" t="n">
        <x:f>-(B9-B8)</x:f>
        <x:v>-46.16900134622165</x:v>
      </x:c>
      <x:c r="C48" s="1" t="str">
        <x:v>mm</x:v>
      </x:c>
      <x:c r="D48" s="1"/>
    </x:row>
    <x:row r="49">
      <x:c r="A49" s="1" t="str">
        <x:v>v = −ΣMD externo</x:v>
      </x:c>
      <x:c r="B49" s="4" t="n">
        <x:f>-B40</x:f>
        <x:v>521.865838837128</x:v>
      </x:c>
      <x:c r="C49" s="1" t="str">
        <x:v>N·mm</x:v>
      </x:c>
      <x:c r="D49" s="1"/>
    </x:row>
    <x:row r="50">
      <x:c r="A50" s="1" t="str">
        <x:v>Determinante a·d − b·c</x:v>
      </x:c>
      <x:c r="B50" s="4" t="n">
        <x:f>B44*B48-B45*B47</x:f>
        <x:v>-5842.196948197879</x:v>
      </x:c>
      <x:c r="C50" s="1" t="str">
        <x:v>mm²</x:v>
      </x:c>
      <x:c r="D50" s="1" t="str">
        <x:v>Cercanía a cero indica mala ventaja mecánica</x:v>
      </x:c>
    </x:row>
    <x:row r="51">
      <x:c r="A51" s="1"/>
      <x:c r="B51" s="4"/>
      <x:c r="C51" s="1"/>
      <x:c r="D51" s="1"/>
    </x:row>
    <x:row r="52" ht="23" customHeight="1">
      <x:c r="A52" s="6" t="str">
        <x:v>Reacciones articulares y par</x:v>
      </x:c>
      <x:c r="B52" s="8"/>
      <x:c r="C52" s="6"/>
      <x:c r="D52" s="6"/>
    </x:row>
    <x:row r="53">
      <x:c r="A53" s="1" t="str">
        <x:v>Cx, CDP sobre BC</x:v>
      </x:c>
      <x:c r="B53" s="4" t="n">
        <x:f>(B46*B48-B45*B49)/B50</x:f>
        <x:v>10.154304202899574</x:v>
      </x:c>
      <x:c r="C53" s="1" t="str">
        <x:v>N</x:v>
      </x:c>
      <x:c r="D53" s="1"/>
    </x:row>
    <x:row r="54">
      <x:c r="A54" s="1" t="str">
        <x:v>Cy, CDP sobre BC</x:v>
      </x:c>
      <x:c r="B54" s="4" t="n">
        <x:f>(B44*B49-B46*B47)/B50</x:f>
        <x:v>-6.538171869255596</x:v>
      </x:c>
      <x:c r="C54" s="1" t="str">
        <x:v>N</x:v>
      </x:c>
      <x:c r="D54" s="1"/>
    </x:row>
    <x:row r="55">
      <x:c r="A55" s="1" t="str">
        <x:v>|C|</x:v>
      </x:c>
      <x:c r="B55" s="18" t="n">
        <x:f>SQRT(B53^2+B54^2)</x:f>
        <x:v>12.077151370954542</x:v>
      </x:c>
      <x:c r="C55" s="1" t="str">
        <x:v>N</x:v>
      </x:c>
      <x:c r="D55" s="1"/>
    </x:row>
    <x:row r="56">
      <x:c r="A56" s="1" t="str">
        <x:v>Dx, CDP sobre AD</x:v>
      </x:c>
      <x:c r="B56" s="4" t="n">
        <x:f>B26-B53</x:f>
        <x:v>-10.154304202899574</x:v>
      </x:c>
      <x:c r="C56" s="1" t="str">
        <x:v>N</x:v>
      </x:c>
      <x:c r="D56" s="1"/>
    </x:row>
    <x:row r="57">
      <x:c r="A57" s="1" t="str">
        <x:v>Dy, CDP sobre AD</x:v>
      </x:c>
      <x:c r="B57" s="4" t="n">
        <x:f>B27-B29-B54</x:f>
        <x:v>10.182586869255594</x:v>
      </x:c>
      <x:c r="C57" s="1" t="str">
        <x:v>N</x:v>
      </x:c>
      <x:c r="D57" s="1"/>
    </x:row>
    <x:row r="58">
      <x:c r="A58" s="1" t="str">
        <x:v>Ax, cabina sobre AD</x:v>
      </x:c>
      <x:c r="B58" s="4" t="n">
        <x:f>-B56</x:f>
        <x:v>10.154304202899574</x:v>
      </x:c>
      <x:c r="C58" s="1" t="str">
        <x:v>N</x:v>
      </x:c>
      <x:c r="D58" s="1"/>
    </x:row>
    <x:row r="59">
      <x:c r="A59" s="1" t="str">
        <x:v>Ay, cabina sobre AD</x:v>
      </x:c>
      <x:c r="B59" s="4" t="n">
        <x:f>B30-B57</x:f>
        <x:v>-9.898096869255594</x:v>
      </x:c>
      <x:c r="C59" s="1" t="str">
        <x:v>N</x:v>
      </x:c>
      <x:c r="D59" s="1"/>
    </x:row>
    <x:row r="60">
      <x:c r="A60" s="1" t="str">
        <x:v>Bx, cabina sobre BC</x:v>
      </x:c>
      <x:c r="B60" s="4" t="n">
        <x:f>-B53</x:f>
        <x:v>-10.154304202899574</x:v>
      </x:c>
      <x:c r="C60" s="1" t="str">
        <x:v>N</x:v>
      </x:c>
      <x:c r="D60" s="1"/>
    </x:row>
    <x:row r="61">
      <x:c r="A61" s="1" t="str">
        <x:v>By, cabina sobre BC</x:v>
      </x:c>
      <x:c r="B61" s="4" t="n">
        <x:f>B28-B54</x:f>
        <x:v>6.606841869255596</x:v>
      </x:c>
      <x:c r="C61" s="1" t="str">
        <x:v>N</x:v>
      </x:c>
      <x:c r="D61" s="1"/>
    </x:row>
    <x:row r="62">
      <x:c r="A62" s="1" t="str">
        <x:v>Par del servo, horario</x:v>
      </x:c>
      <x:c r="B62" s="18" t="n">
        <x:f>((B8-B6)*B57-(C8-C6)*B56-B30*(B11-B6))/1000</x:f>
        <x:v>1.1402583063729133</x:v>
      </x:c>
      <x:c r="C62" s="1" t="str">
        <x:v>N·m</x:v>
      </x:c>
      <x:c r="D62" s="1"/>
    </x:row>
    <x:row r="63">
      <x:c r="A63" s="1" t="str">
        <x:v>Momento de C sobre CDP</x:v>
      </x:c>
      <x:c r="B63" s="4" t="n">
        <x:f>(C9-C8)*B53-(B9-B8)*B54</x:f>
        <x:v>521.865838837128</x:v>
      </x:c>
      <x:c r="C63" s="1" t="str">
        <x:v>N·mm</x:v>
      </x:c>
      <x:c r="D63" s="1"/>
    </x:row>
    <x:row r="64">
      <x:c r="A64" s="1" t="str">
        <x:v>Residuo de momentos en D</x:v>
      </x:c>
      <x:c r="B64" s="18" t="n">
        <x:f>B40+B63</x:f>
        <x:v>0</x:v>
      </x:c>
      <x:c r="C64" s="1" t="str">
        <x:v>N·mm</x:v>
      </x:c>
      <x:c r="D64" s="1" t="str">
        <x:v>Debe valer aproximadamente cero</x:v>
      </x:c>
    </x:row>
    <x:row r="65">
      <x:c r="A65" s="1"/>
      <x:c r="B65" s="4"/>
      <x:c r="C65" s="1"/>
      <x:c r="D65" s="1"/>
    </x:row>
    <x:row r="66">
      <x:c r="A66" s="1"/>
      <x:c r="B66" s="4"/>
      <x:c r="C66" s="1"/>
      <x:c r="D66" s="1"/>
    </x:row>
    <x:row r="67">
      <x:c r="A67" s="1"/>
      <x:c r="B67" s="4"/>
      <x:c r="C67" s="1"/>
      <x:c r="D67" s="1"/>
    </x:row>
    <x:row r="68">
      <x:c r="A68" s="1"/>
      <x:c r="B68" s="4"/>
      <x:c r="C68" s="1"/>
      <x:c r="D68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0" hidden="0" customWidth="1"/>
    <x:col min="3" max="3" width="16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Datos del mecanismo</x:v>
      </x:c>
      <x:c r="B2" s="2"/>
      <x:c r="C2" s="2"/>
      <x:c r="D2" s="2"/>
    </x:row>
    <x:row r="3">
      <x:c r="A3" s="3" t="str">
        <x:v>Ejemplo: modelo analítico corregido. Reemplazar por cotas y material del CAD de segunda iteración.</x:v>
      </x:c>
      <x:c r="B3" s="3"/>
      <x:c r="C3" s="3"/>
      <x:c r="D3" s="3"/>
    </x:row>
    <x:row r="4" ht="23" customHeight="1">
      <x:c r="A4" s="6" t="str">
        <x:v>Geometría y postura</x:v>
      </x:c>
      <x:c r="B4" s="6"/>
      <x:c r="C4" s="6"/>
      <x:c r="D4" s="6"/>
    </x:row>
    <x:row r="5">
      <x:c r="A5" s="1" t="str">
        <x:v>Variante</x:v>
      </x:c>
      <x:c r="B5" s="4" t="str">
        <x:v>Analítico corregido</x:v>
      </x:c>
      <x:c r="C5" s="1"/>
      <x:c r="D5" s="1" t="str">
        <x:v>No representa el CAD de segunda iteración</x:v>
      </x:c>
    </x:row>
    <x:row r="6">
      <x:c r="A6" s="1" t="str">
        <x:v>Ángulo θ</x:v>
      </x:c>
      <x:c r="B6" s="12" t="n">
        <x:v>10</x:v>
      </x:c>
      <x:c r="C6" s="1" t="str">
        <x:v>°</x:v>
      </x:c>
      <x:c r="D6" s="1" t="str">
        <x:v>AD bajo la horizontal; positivo horario</x:v>
      </x:c>
    </x:row>
    <x:row r="7">
      <x:c r="A7" s="1" t="str">
        <x:v>AB</x:v>
      </x:c>
      <x:c r="B7" s="12" t="n">
        <x:v>100</x:v>
      </x:c>
      <x:c r="C7" s="1" t="str">
        <x:v>mm</x:v>
      </x:c>
      <x:c r="D7" s="1" t="str">
        <x:v>Bancada A-B</x:v>
      </x:c>
    </x:row>
    <x:row r="8">
      <x:c r="A8" s="1" t="str">
        <x:v>Ángulo de AB</x:v>
      </x:c>
      <x:c r="B8" s="12" t="n">
        <x:v>45</x:v>
      </x:c>
      <x:c r="C8" s="1" t="str">
        <x:v>°</x:v>
      </x:c>
      <x:c r="D8" s="1" t="str">
        <x:v>Desde +x en sentido antihorario</x:v>
      </x:c>
    </x:row>
    <x:row r="9">
      <x:c r="A9" s="1" t="str">
        <x:v>AD</x:v>
      </x:c>
      <x:c r="B9" s="12" t="n">
        <x:v>140</x:v>
      </x:c>
      <x:c r="C9" s="1" t="str">
        <x:v>mm</x:v>
      </x:c>
      <x:c r="D9" s="1"/>
    </x:row>
    <x:row r="10">
      <x:c r="A10" s="1" t="str">
        <x:v>BC</x:v>
      </x:c>
      <x:c r="B10" s="12" t="n">
        <x:v>135</x:v>
      </x:c>
      <x:c r="C10" s="1" t="str">
        <x:v>mm</x:v>
      </x:c>
      <x:c r="D10" s="1"/>
    </x:row>
    <x:row r="11">
      <x:c r="A11" s="1" t="str">
        <x:v>CD</x:v>
      </x:c>
      <x:c r="B11" s="12" t="n">
        <x:v>51</x:v>
      </x:c>
      <x:c r="C11" s="1" t="str">
        <x:v>mm</x:v>
      </x:c>
      <x:c r="D11" s="1"/>
    </x:row>
    <x:row r="12">
      <x:c r="A12" s="1" t="str">
        <x:v>DP</x:v>
      </x:c>
      <x:c r="B12" s="12" t="n">
        <x:v>140</x:v>
      </x:c>
      <x:c r="C12" s="1" t="str">
        <x:v>mm</x:v>
      </x:c>
      <x:c r="D12" s="1"/>
    </x:row>
    <x:row r="13">
      <x:c r="A13" s="1" t="str">
        <x:v>δ: DC a DP</x:v>
      </x:c>
      <x:c r="B13" s="12" t="n">
        <x:v>164</x:v>
      </x:c>
      <x:c r="C13" s="1" t="str">
        <x:v>°</x:v>
      </x:c>
      <x:c r="D13" s="1" t="str">
        <x:v>Rotación antihoraria desde D→C hasta D→P</x:v>
      </x:c>
    </x:row>
    <x:row r="14">
      <x:c r="A14" s="1" t="str">
        <x:v>Rama de armado</x:v>
      </x:c>
      <x:c r="B14" s="12" t="n">
        <x:v>1</x:v>
      </x:c>
      <x:c r="C14" s="1" t="str">
        <x:v>+1 / −1</x:v>
      </x:c>
      <x:c r="D14" s="1" t="str">
        <x:v>La rama +1 coincide con el ejemplo del DCL</x:v>
      </x:c>
    </x:row>
    <x:row r="15">
      <x:c r="A15" s="1"/>
      <x:c r="B15" s="4"/>
      <x:c r="C15" s="1"/>
      <x:c r="D15" s="1"/>
    </x:row>
    <x:row r="16" ht="23" customHeight="1">
      <x:c r="A16" s="6" t="str">
        <x:v>Masas, gravedad y centros de masa</x:v>
      </x:c>
      <x:c r="B16" s="8"/>
      <x:c r="C16" s="6"/>
      <x:c r="D16" s="6"/>
    </x:row>
    <x:row r="17">
      <x:c r="A17" s="1" t="str">
        <x:v>Masa cabina</x:v>
      </x:c>
      <x:c r="B17" s="14" t="n">
        <x:v>0.671</x:v>
      </x:c>
      <x:c r="C17" s="1" t="str">
        <x:v>kg</x:v>
      </x:c>
      <x:c r="D17" s="1" t="str">
        <x:v>Incluye tapa, servos, batería, electrónica y tornillería</x:v>
      </x:c>
    </x:row>
    <x:row r="18">
      <x:c r="A18" s="1" t="str">
        <x:v>Masa AD</x:v>
      </x:c>
      <x:c r="B18" s="14" t="n">
        <x:v>0.029</x:v>
      </x:c>
      <x:c r="C18" s="1" t="str">
        <x:v>kg</x:v>
      </x:c>
      <x:c r="D18" s="1"/>
    </x:row>
    <x:row r="19">
      <x:c r="A19" s="1" t="str">
        <x:v>Masa BC</x:v>
      </x:c>
      <x:c r="B19" s="14" t="n">
        <x:v>0.007</x:v>
      </x:c>
      <x:c r="C19" s="1" t="str">
        <x:v>kg</x:v>
      </x:c>
      <x:c r="D19" s="1"/>
    </x:row>
    <x:row r="20">
      <x:c r="A20" s="1" t="str">
        <x:v>Masa CDP</x:v>
      </x:c>
      <x:c r="B20" s="14" t="n">
        <x:v>0.0195</x:v>
      </x:c>
      <x:c r="C20" s="1" t="str">
        <x:v>kg</x:v>
      </x:c>
      <x:c r="D20" s="1"/>
    </x:row>
    <x:row r="21">
      <x:c r="A21" s="1" t="str">
        <x:v>Masa en P</x:v>
      </x:c>
      <x:c r="B21" s="14" t="n">
        <x:v>0.125</x:v>
      </x:c>
      <x:c r="C21" s="1" t="str">
        <x:v>kg</x:v>
      </x:c>
      <x:c r="D21" s="1" t="str">
        <x:v>Rueda y motor por pata</x:v>
      </x:c>
    </x:row>
    <x:row r="22">
      <x:c r="A22" s="1" t="str">
        <x:v>Cantidad de patas</x:v>
      </x:c>
      <x:c r="B22" s="14" t="n">
        <x:v>2</x:v>
      </x:c>
      <x:c r="C22" s="1" t="str">
        <x:v>—</x:v>
      </x:c>
      <x:c r="D22" s="1"/>
    </x:row>
    <x:row r="23">
      <x:c r="A23" s="1" t="str">
        <x:v>Gravedad</x:v>
      </x:c>
      <x:c r="B23" s="14" t="n">
        <x:v>9.81</x:v>
      </x:c>
      <x:c r="C23" s="1" t="str">
        <x:v>m/s²</x:v>
      </x:c>
      <x:c r="D23" s="1"/>
    </x:row>
    <x:row r="24">
      <x:c r="A24" s="1" t="str">
        <x:v>AG / AD</x:v>
      </x:c>
      <x:c r="B24" s="14" t="n">
        <x:v>0.428</x:v>
      </x:c>
      <x:c r="C24" s="1" t="str">
        <x:v>fracción</x:v>
      </x:c>
      <x:c r="D24" s="1" t="str">
        <x:v>Centro de masa de AD desde A</x:v>
      </x:c>
    </x:row>
    <x:row r="25">
      <x:c r="A25" s="1" t="str">
        <x:v>BG / BC</x:v>
      </x:c>
      <x:c r="B25" s="14" t="n">
        <x:v>0.5</x:v>
      </x:c>
      <x:c r="C25" s="1" t="str">
        <x:v>fracción</x:v>
      </x:c>
      <x:c r="D25" s="1" t="str">
        <x:v>Centro de masa de BC desde B</x:v>
      </x:c>
    </x:row>
    <x:row r="26">
      <x:c r="A26" s="1" t="str">
        <x:v>DG / DP</x:v>
      </x:c>
      <x:c r="B26" s="14" t="n">
        <x:v>0.3145</x:v>
      </x:c>
      <x:c r="C26" s="1" t="str">
        <x:v>fracción</x:v>
      </x:c>
      <x:c r="D26" s="1" t="str">
        <x:v>Centro de masa de CDP desde D</x:v>
      </x:c>
    </x:row>
    <x:row r="27" ht="23" customHeight="1">
      <x:c r="A27" s="6" t="str">
        <x:v>Cargas externas estáticas</x:v>
      </x:c>
      <x:c r="B27" s="8"/>
      <x:c r="C27" s="6"/>
      <x:c r="D27" s="6"/>
    </x:row>
    <x:row r="28">
      <x:c r="A28" s="1" t="str">
        <x:v>Factor de apoyo por pata</x:v>
      </x:c>
      <x:c r="B28" s="16" t="n">
        <x:v>1</x:v>
      </x:c>
      <x:c r="C28" s="1" t="str">
        <x:v>×</x:v>
      </x:c>
      <x:c r="D28" s="1" t="str">
        <x:v>1 = reparto simétrico del peso; cambiar sólo con un caso de carga justificado</x:v>
      </x:c>
    </x:row>
    <x:row r="29">
      <x:c r="A29" s="1" t="str">
        <x:v>Fuerza horizontal en P</x:v>
      </x:c>
      <x:c r="B29" s="16" t="n">
        <x:v>0</x:v>
      </x:c>
      <x:c r="C29" s="1" t="str">
        <x:v>N</x:v>
      </x:c>
      <x:c r="D29" s="1" t="str">
        <x:v>Positiva hacia atrás; caso nominal sin tracción</x:v>
      </x:c>
    </x:row>
    <x:row r="30">
      <x:c r="A30" s="1"/>
      <x:c r="B30" s="4"/>
      <x:c r="C30" s="1"/>
      <x:c r="D30" s="1"/>
    </x:row>
    <x:row r="31">
      <x:c r="A31" s="1"/>
      <x:c r="B31" s="4"/>
      <x:c r="C31" s="1"/>
      <x:c r="D31" s="1"/>
    </x:row>
    <x:row r="32" ht="23" customHeight="1">
      <x:c r="A32" s="6" t="str">
        <x:v>Fuentes y límites</x:v>
      </x:c>
      <x:c r="B32" s="8"/>
      <x:c r="C32" s="6"/>
      <x:c r="D32" s="6"/>
    </x:row>
    <x:row r="33">
      <x:c r="A33" s="1" t="str">
        <x:v>Geometría y masas</x:v>
      </x:c>
      <x:c r="B33" s="4" t="str">
        <x:v>modelado/parametros/parametros_fisicos.m</x:v>
      </x:c>
      <x:c r="C33" s="1"/>
      <x:c r="D33" s="1" t="str">
        <x:v>Variante corregido; masas estimadas</x:v>
      </x:c>
    </x:row>
    <x:row r="34">
      <x:c r="A34" s="1" t="str">
        <x:v>DCL estático</x:v>
      </x:c>
      <x:c r="B34" s="4" t="str">
        <x:v>modelado/dcl/dcl_resumen.tex</x:v>
      </x:c>
      <x:c r="C34" s="1"/>
      <x:c r="D34" s="1" t="str">
        <x:v>Caso θ = 10° usado como comprobación</x:v>
      </x:c>
    </x:row>
    <x:row r="35">
      <x:c r="A35" s="1" t="str">
        <x:v>Alcance</x:v>
      </x:c>
      <x:c r="B35" s="4" t="str">
        <x:v>Un plano, una postura, equilibrio estático</x:v>
      </x:c>
      <x:c r="C35" s="1"/>
      <x:c r="D35" s="1" t="str">
        <x:v>No incluye inercia, par motor de rueda ni flexión lateral</x:v>
      </x:c>
    </x:row>
    <x:row r="36">
      <x:c r="A36" s="1" t="str">
        <x:v>Propiedades de impresión</x:v>
      </x:c>
      <x:c r="B36" s="4" t="str">
        <x:v>Pendientes de medir</x:v>
      </x:c>
      <x:c r="C36" s="1"/>
      <x:c r="D36" s="1" t="str">
        <x:v>No inferir resistencia admisible de una tabla genérica de PLA</x:v>
      </x:c>
    </x:row>
    <x:row r="37">
      <x:c r="A37" s="1"/>
      <x:c r="B37" s="4"/>
      <x:c r="C37" s="1"/>
      <x:c r="D37" s="1"/>
    </x:row>
    <x:row r="38">
      <x:c r="A38" s="1"/>
      <x:c r="B38" s="4"/>
      <x:c r="C38" s="1"/>
      <x:c r="D38" s="1"/>
    </x:row>
    <x:row r="39">
      <x:c r="A39" s="1"/>
      <x:c r="B39" s="4"/>
      <x:c r="C39" s="1"/>
      <x:c r="D39" s="1"/>
    </x:row>
    <x:row r="40">
      <x:c r="A40" s="1"/>
      <x:c r="B40" s="4"/>
      <x:c r="C40" s="1"/>
      <x:c r="D40" s="1"/>
    </x:row>
    <x:row r="41">
      <x:c r="A41" s="1"/>
      <x:c r="B41" s="4"/>
      <x:c r="C41" s="1"/>
      <x:c r="D41" s="1"/>
    </x:row>
    <x:row r="42">
      <x:c r="A42" s="1"/>
      <x:c r="B42" s="4"/>
      <x:c r="C42" s="1"/>
      <x:c r="D42" s="1"/>
    </x:row>
    <x:row r="43">
      <x:c r="A43" s="1"/>
      <x:c r="B43" s="4"/>
      <x:c r="C43" s="1"/>
      <x:c r="D43" s="1"/>
    </x:row>
  </x:sheetData>
  <x:pageMargins left="0.7" right="0.7" top="0.75" bottom="0.75" header="0.3" footer="0.3"/>
</x:worksheet>
</file>